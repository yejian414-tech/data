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fd075a126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1736d1b52b4562"/>
    <x:sheet xmlns:r="http://schemas.openxmlformats.org/officeDocument/2006/relationships" name="Participant Data" sheetId="2" r:id="R8baa55d2091e4400"/>
    <x:sheet xmlns:r="http://schemas.openxmlformats.org/officeDocument/2006/relationships" name="Questionnaire Key" sheetId="3" r:id="R86fd172c8e7f4862"/>
    <x:sheet xmlns:r="http://schemas.openxmlformats.org/officeDocument/2006/relationships" name="Notes" sheetId="4" r:id="Rcf7808624999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9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horizontal="center" vertical="center"/>
    </x:xf>
    <x:xf numFmtId="0" fontId="1" fillId="0" borderId="15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1" fillId="0" borderId="18" xfId="0" applyNumberFormat="1" applyFont="1" applyFill="1" applyBorder="1" applyAlignment="1">
      <x:alignment horizontal="center" vertical="center"/>
    </x:xf>
    <x:xf numFmtId="201" fontId="1" fillId="0" borderId="11" xfId="0" applyNumberFormat="1" applyFont="1" applyFill="1" applyBorder="1" applyAlignment="1">
      <x:alignment horizontal="center" vertical="center"/>
    </x:xf>
    <x:xf numFmtId="201" fontId="1" fillId="0" borderId="12" xfId="0" applyNumberFormat="1" applyFont="1" applyFill="1" applyBorder="1" applyAlignment="1">
      <x:alignment horizontal="center" vertical="center"/>
    </x:xf>
    <x:xf numFmtId="201" fontId="1" fillId="0" borderId="14" xfId="0" applyNumberFormat="1" applyFont="1" applyFill="1" applyBorder="1" applyAlignment="1">
      <x:alignment horizontal="center" vertical="center"/>
    </x:xf>
    <x:xf numFmtId="201" fontId="1" fillId="0" borderId="15" xfId="0" applyNumberFormat="1" applyFont="1" applyFill="1" applyBorder="1" applyAlignment="1">
      <x:alignment horizontal="center" vertical="center"/>
    </x:xf>
    <x:xf numFmtId="201" fontId="1" fillId="0" borderId="17" xfId="0" applyNumberFormat="1" applyFont="1" applyFill="1" applyBorder="1" applyAlignment="1">
      <x:alignment horizontal="center" vertical="center"/>
    </x:xf>
    <x:xf numFmtId="201" fontId="1" fillId="0" borderId="18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369fe100d4d9b" /><Relationship Type="http://schemas.openxmlformats.org/officeDocument/2006/relationships/theme" Target="/xl/theme/theme1.xml" Id="Ra9de60e212974b99" /><Relationship Type="http://schemas.openxmlformats.org/officeDocument/2006/relationships/sharedStrings" Target="/xl/sharedStrings.xml" Id="R7ae94b34e4174211" /><Relationship Type="http://schemas.openxmlformats.org/officeDocument/2006/relationships/worksheet" Target="/xl/worksheets/sheet1.xml" Id="R3f1736d1b52b4562" /><Relationship Type="http://schemas.openxmlformats.org/officeDocument/2006/relationships/worksheet" Target="/xl/worksheets/sheet2.xml" Id="R8baa55d2091e4400" /><Relationship Type="http://schemas.openxmlformats.org/officeDocument/2006/relationships/worksheet" Target="/xl/worksheets/sheet3.xml" Id="R86fd172c8e7f4862" /><Relationship Type="http://schemas.openxmlformats.org/officeDocument/2006/relationships/worksheet" Target="/xl/worksheets/sheet4.xml" Id="Rcf780862499946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6" customHeight="1">
      <x:c r="A1" s="3" t="str">
        <x:v>Table C.8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5" t="str">
        <x:v>Usefulness is treated as a second-round rating; confirm this interpretation against the original questionnaire.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2" customHeight="1">
      <x:c r="A4" s="9" t="str">
        <x:v>Module</x:v>
      </x:c>
      <x:c r="B4" s="9" t="str">
        <x:v>N</x:v>
      </x:c>
      <x:c r="C4" s="9" t="str">
        <x:v>Calculated U2</x:v>
      </x:c>
      <x:c r="D4" s="9" t="str">
        <x:v>Calculated E1</x:v>
      </x:c>
      <x:c r="E4" s="9" t="str">
        <x:v>Calculated E2</x:v>
      </x:c>
      <x:c r="F4" s="9" t="str">
        <x:v>Calculated Change</x:v>
      </x:c>
      <x:c r="G4" s="9" t="str">
        <x:v>Thesis U</x:v>
      </x:c>
      <x:c r="H4" s="9" t="str">
        <x:v>Thesis E1</x:v>
      </x:c>
      <x:c r="I4" s="9" t="str">
        <x:v>Thesis E2</x:v>
      </x:c>
      <x:c r="J4" s="9" t="str">
        <x:v>Thesis Change</x:v>
      </x:c>
      <x:c r="K4" s="9" t="str">
        <x:v>Reconciliation</x:v>
      </x:c>
    </x:row>
    <x:row r="5">
      <x:c r="A5" s="19" t="str">
        <x:v>Engineer</x:v>
      </x:c>
      <x:c r="B5" s="25" t="n">
        <x:f>COUNT('Participant Data'!C$5:C$14)</x:f>
        <x:v>10</x:v>
      </x:c>
      <x:c r="C5" s="22" t="n">
        <x:f>AVERAGE('Participant Data'!C$5:C$14)</x:f>
        <x:v>6.3</x:v>
      </x:c>
      <x:c r="D5" s="22" t="n">
        <x:f>AVERAGE('Participant Data'!D$5:D$14)</x:f>
        <x:v>3.2</x:v>
      </x:c>
      <x:c r="E5" s="22" t="n">
        <x:f>AVERAGE('Participant Data'!E$5:E$14)</x:f>
        <x:v>4.5</x:v>
      </x:c>
      <x:c r="F5" s="22" t="n">
        <x:f>E5-D5</x:f>
        <x:v>1.2999999999999998</x:v>
      </x:c>
      <x:c r="G5" s="22" t="n">
        <x:v>6.3</x:v>
      </x:c>
      <x:c r="H5" s="22" t="n">
        <x:v>3.2</x:v>
      </x:c>
      <x:c r="I5" s="22" t="n">
        <x:v>4.5</x:v>
      </x:c>
      <x:c r="J5" s="22" t="n">
        <x:v>1.3</x:v>
      </x:c>
      <x:c r="K5" s="12" t="str">
        <x:f>IF(AND(ABS(C5-G5)&lt;0.0001,ABS(D5-H5)&lt;0.0001,ABS(E5-I5)&lt;0.0001,ABS(F5-J5)&lt;0.0001),"MATCH","CHECK")</x:f>
        <x:v>MATCH</x:v>
      </x:c>
    </x:row>
    <x:row r="6">
      <x:c r="A6" s="20" t="str">
        <x:v>Coach</x:v>
      </x:c>
      <x:c r="B6" s="26" t="n">
        <x:f>COUNT('Participant Data'!G$5:G$14)</x:f>
        <x:v>10</x:v>
      </x:c>
      <x:c r="C6" s="23" t="n">
        <x:f>AVERAGE('Participant Data'!G$5:G$14)</x:f>
        <x:v>5.7</x:v>
      </x:c>
      <x:c r="D6" s="23" t="n">
        <x:f>AVERAGE('Participant Data'!H$5:H$14)</x:f>
        <x:v>2.8</x:v>
      </x:c>
      <x:c r="E6" s="23" t="n">
        <x:f>AVERAGE('Participant Data'!I$5:I$14)</x:f>
        <x:v>3.6</x:v>
      </x:c>
      <x:c r="F6" s="23" t="n">
        <x:f>E6-D6</x:f>
        <x:v>0.8000000000000003</x:v>
      </x:c>
      <x:c r="G6" s="23" t="n">
        <x:v>5.7</x:v>
      </x:c>
      <x:c r="H6" s="23" t="n">
        <x:v>2.8</x:v>
      </x:c>
      <x:c r="I6" s="23" t="n">
        <x:v>3.6</x:v>
      </x:c>
      <x:c r="J6" s="23" t="n">
        <x:v>0.8</x:v>
      </x:c>
      <x:c r="K6" s="15" t="str">
        <x:f>IF(AND(ABS(C6-G6)&lt;0.0001,ABS(D6-H6)&lt;0.0001,ABS(E6-I6)&lt;0.0001,ABS(F6-J6)&lt;0.0001),"MATCH","CHECK")</x:f>
        <x:v>MATCH</x:v>
      </x:c>
    </x:row>
    <x:row r="7">
      <x:c r="A7" s="20" t="str">
        <x:v>Commentary</x:v>
      </x:c>
      <x:c r="B7" s="26" t="n">
        <x:f>COUNT('Participant Data'!K$5:K$14)</x:f>
        <x:v>10</x:v>
      </x:c>
      <x:c r="C7" s="23" t="n">
        <x:f>AVERAGE('Participant Data'!K$5:K$14)</x:f>
        <x:v>5.6</x:v>
      </x:c>
      <x:c r="D7" s="23" t="n">
        <x:f>AVERAGE('Participant Data'!L$5:L$14)</x:f>
        <x:v>3.5</x:v>
      </x:c>
      <x:c r="E7" s="23" t="n">
        <x:f>AVERAGE('Participant Data'!M$5:M$14)</x:f>
        <x:v>4.4</x:v>
      </x:c>
      <x:c r="F7" s="23" t="n">
        <x:f>E7-D7</x:f>
        <x:v>0.9000000000000004</x:v>
      </x:c>
      <x:c r="G7" s="23" t="n">
        <x:v>5.6</x:v>
      </x:c>
      <x:c r="H7" s="23" t="n">
        <x:v>3.5</x:v>
      </x:c>
      <x:c r="I7" s="23" t="n">
        <x:v>4.4</x:v>
      </x:c>
      <x:c r="J7" s="23" t="n">
        <x:v>0.9</x:v>
      </x:c>
      <x:c r="K7" s="15" t="str">
        <x:f>IF(AND(ABS(C7-G7)&lt;0.0001,ABS(D7-H7)&lt;0.0001,ABS(E7-I7)&lt;0.0001,ABS(F7-J7)&lt;0.0001),"MATCH","CHECK")</x:f>
        <x:v>MATCH</x:v>
      </x:c>
    </x:row>
    <x:row r="8">
      <x:c r="A8" s="21" t="str">
        <x:v>AI Driver Bot</x:v>
      </x:c>
      <x:c r="B8" s="27" t="n">
        <x:f>COUNT('Participant Data'!O$5:O$14)</x:f>
        <x:v>10</x:v>
      </x:c>
      <x:c r="C8" s="24" t="n">
        <x:f>AVERAGE('Participant Data'!O$5:O$14)</x:f>
        <x:v>5.2</x:v>
      </x:c>
      <x:c r="D8" s="24" t="n">
        <x:f>AVERAGE('Participant Data'!P$5:P$14)</x:f>
        <x:v>4</x:v>
      </x:c>
      <x:c r="E8" s="24" t="n">
        <x:f>AVERAGE('Participant Data'!Q$5:Q$14)</x:f>
        <x:v>4.8</x:v>
      </x:c>
      <x:c r="F8" s="24" t="n">
        <x:f>E8-D8</x:f>
        <x:v>0.7999999999999998</x:v>
      </x:c>
      <x:c r="G8" s="24" t="n">
        <x:v>5.2</x:v>
      </x:c>
      <x:c r="H8" s="24" t="n">
        <x:v>4</x:v>
      </x:c>
      <x:c r="I8" s="24" t="n">
        <x:v>4.8</x:v>
      </x:c>
      <x:c r="J8" s="24" t="n">
        <x:v>0.8</x:v>
      </x:c>
      <x:c r="K8" s="18" t="str">
        <x:f>IF(AND(ABS(C8-G8)&lt;0.0001,ABS(D8-H8)&lt;0.0001,ABS(E8-I8)&lt;0.0001,ABS(F8-J8)&lt;0.0001),"MATCH","CHECK")</x:f>
        <x:v>MATCH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30" t="str">
        <x:v>Definition</x:v>
      </x:c>
      <x:c r="B11" s="31" t="str">
        <x:v>Value</x:v>
      </x:c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13" t="str">
        <x:v>U2</x:v>
      </x:c>
      <x:c r="B12" s="32" t="str">
        <x:v>Second-round usefulness; interpretation requires confirmation</x:v>
      </x:c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13" t="str">
        <x:v>E1</x:v>
      </x:c>
      <x:c r="B13" s="32" t="str">
        <x:v>First-round ease of use</x:v>
      </x:c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13" t="str">
        <x:v>E2</x:v>
      </x:c>
      <x:c r="B14" s="32" t="str">
        <x:v>Second-round ease of use</x:v>
      </x:c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16" t="str">
        <x:v>Change</x:v>
      </x:c>
      <x:c r="B15" s="33" t="str">
        <x:v>Second-round mean ease minus first-round mean ease</x:v>
      </x:c>
      <x:c r="C15" s="2"/>
      <x:c r="D15" s="2"/>
      <x:c r="E15" s="2"/>
      <x:c r="F15" s="2"/>
      <x:c r="G15" s="2"/>
      <x:c r="H15" s="2"/>
      <x:c r="I15" s="2"/>
      <x:c r="J15" s="2"/>
      <x:c r="K15" s="2"/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6" customHeight="1">
      <x:c r="A1" s="3" t="str">
        <x:v>Table C.8 participant-level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2" customHeight="1">
      <x:c r="A2" s="5" t="str">
        <x:v>RECONSTRUCTED: values reproduce the published aggregates and are not original participant records.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2" customHeight="1">
      <x:c r="A4" s="9" t="str">
        <x:v>Participant ID</x:v>
      </x:c>
      <x:c r="B4" s="9" t="str">
        <x:v>Experience</x:v>
      </x:c>
      <x:c r="C4" s="9" t="str">
        <x:v>Engineer U2</x:v>
      </x:c>
      <x:c r="D4" s="9" t="str">
        <x:v>Engineer E1</x:v>
      </x:c>
      <x:c r="E4" s="9" t="str">
        <x:v>Engineer E2</x:v>
      </x:c>
      <x:c r="F4" s="9" t="str">
        <x:v>Engineer Change</x:v>
      </x:c>
      <x:c r="G4" s="9" t="str">
        <x:v>Coach U2</x:v>
      </x:c>
      <x:c r="H4" s="9" t="str">
        <x:v>Coach E1</x:v>
      </x:c>
      <x:c r="I4" s="9" t="str">
        <x:v>Coach E2</x:v>
      </x:c>
      <x:c r="J4" s="9" t="str">
        <x:v>Coach Change</x:v>
      </x:c>
      <x:c r="K4" s="9" t="str">
        <x:v>Commentary U2</x:v>
      </x:c>
      <x:c r="L4" s="9" t="str">
        <x:v>Commentary E1</x:v>
      </x:c>
      <x:c r="M4" s="9" t="str">
        <x:v>Commentary E2</x:v>
      </x:c>
      <x:c r="N4" s="9" t="str">
        <x:v>Commentary Change</x:v>
      </x:c>
      <x:c r="O4" s="9" t="str">
        <x:v>AI Driver Bot U2</x:v>
      </x:c>
      <x:c r="P4" s="9" t="str">
        <x:v>AI Driver Bot E1</x:v>
      </x:c>
      <x:c r="Q4" s="9" t="str">
        <x:v>AI Driver Bot E2</x:v>
      </x:c>
      <x:c r="R4" s="9" t="str">
        <x:v>AI Driver Bot Change</x:v>
      </x:c>
    </x:row>
    <x:row r="5">
      <x:c r="A5" s="43" t="str">
        <x:v>R01</x:v>
      </x:c>
      <x:c r="B5" s="44" t="str">
        <x:v>Expert</x:v>
      </x:c>
      <x:c r="C5" s="52" t="n">
        <x:v>7</x:v>
      </x:c>
      <x:c r="D5" s="52" t="n">
        <x:v>5</x:v>
      </x:c>
      <x:c r="E5" s="52" t="n">
        <x:v>5</x:v>
      </x:c>
      <x:c r="F5" s="52" t="n">
        <x:f>E5-D5</x:f>
        <x:v>0</x:v>
      </x:c>
      <x:c r="G5" s="52" t="n">
        <x:v>6</x:v>
      </x:c>
      <x:c r="H5" s="52" t="n">
        <x:v>4</x:v>
      </x:c>
      <x:c r="I5" s="52" t="n">
        <x:v>4</x:v>
      </x:c>
      <x:c r="J5" s="52" t="n">
        <x:f>I5-H5</x:f>
        <x:v>0</x:v>
      </x:c>
      <x:c r="K5" s="52" t="n">
        <x:v>6</x:v>
      </x:c>
      <x:c r="L5" s="52" t="n">
        <x:v>5</x:v>
      </x:c>
      <x:c r="M5" s="52" t="n">
        <x:v>5</x:v>
      </x:c>
      <x:c r="N5" s="52" t="n">
        <x:f>M5-L5</x:f>
        <x:v>0</x:v>
      </x:c>
      <x:c r="O5" s="52" t="n">
        <x:v>6</x:v>
      </x:c>
      <x:c r="P5" s="52" t="n">
        <x:v>5</x:v>
      </x:c>
      <x:c r="Q5" s="52" t="n">
        <x:v>5</x:v>
      </x:c>
      <x:c r="R5" s="53" t="n">
        <x:f>Q5-P5</x:f>
        <x:v>0</x:v>
      </x:c>
    </x:row>
    <x:row r="6">
      <x:c r="A6" s="46" t="str">
        <x:v>R02</x:v>
      </x:c>
      <x:c r="B6" s="47" t="str">
        <x:v>Expert</x:v>
      </x:c>
      <x:c r="C6" s="54" t="n">
        <x:v>7</x:v>
      </x:c>
      <x:c r="D6" s="54" t="n">
        <x:v>4</x:v>
      </x:c>
      <x:c r="E6" s="54" t="n">
        <x:v>5</x:v>
      </x:c>
      <x:c r="F6" s="54" t="n">
        <x:f>E6-D6</x:f>
        <x:v>1</x:v>
      </x:c>
      <x:c r="G6" s="54" t="n">
        <x:v>6</x:v>
      </x:c>
      <x:c r="H6" s="54" t="n">
        <x:v>4</x:v>
      </x:c>
      <x:c r="I6" s="54" t="n">
        <x:v>4</x:v>
      </x:c>
      <x:c r="J6" s="54" t="n">
        <x:f>I6-H6</x:f>
        <x:v>0</x:v>
      </x:c>
      <x:c r="K6" s="54" t="n">
        <x:v>6</x:v>
      </x:c>
      <x:c r="L6" s="54" t="n">
        <x:v>4</x:v>
      </x:c>
      <x:c r="M6" s="54" t="n">
        <x:v>5</x:v>
      </x:c>
      <x:c r="N6" s="54" t="n">
        <x:f>M6-L6</x:f>
        <x:v>1</x:v>
      </x:c>
      <x:c r="O6" s="54" t="n">
        <x:v>6</x:v>
      </x:c>
      <x:c r="P6" s="54" t="n">
        <x:v>5</x:v>
      </x:c>
      <x:c r="Q6" s="54" t="n">
        <x:v>5</x:v>
      </x:c>
      <x:c r="R6" s="55" t="n">
        <x:f>Q6-P6</x:f>
        <x:v>0</x:v>
      </x:c>
    </x:row>
    <x:row r="7">
      <x:c r="A7" s="46" t="str">
        <x:v>R03</x:v>
      </x:c>
      <x:c r="B7" s="47" t="str">
        <x:v>Expert</x:v>
      </x:c>
      <x:c r="C7" s="54" t="n">
        <x:v>7</x:v>
      </x:c>
      <x:c r="D7" s="54" t="n">
        <x:v>4</x:v>
      </x:c>
      <x:c r="E7" s="54" t="n">
        <x:v>5</x:v>
      </x:c>
      <x:c r="F7" s="54" t="n">
        <x:f>E7-D7</x:f>
        <x:v>1</x:v>
      </x:c>
      <x:c r="G7" s="54" t="n">
        <x:v>6</x:v>
      </x:c>
      <x:c r="H7" s="54" t="n">
        <x:v>3</x:v>
      </x:c>
      <x:c r="I7" s="54" t="n">
        <x:v>4</x:v>
      </x:c>
      <x:c r="J7" s="54" t="n">
        <x:f>I7-H7</x:f>
        <x:v>1</x:v>
      </x:c>
      <x:c r="K7" s="54" t="n">
        <x:v>6</x:v>
      </x:c>
      <x:c r="L7" s="54" t="n">
        <x:v>4</x:v>
      </x:c>
      <x:c r="M7" s="54" t="n">
        <x:v>5</x:v>
      </x:c>
      <x:c r="N7" s="54" t="n">
        <x:f>M7-L7</x:f>
        <x:v>1</x:v>
      </x:c>
      <x:c r="O7" s="54" t="n">
        <x:v>5</x:v>
      </x:c>
      <x:c r="P7" s="54" t="n">
        <x:v>4</x:v>
      </x:c>
      <x:c r="Q7" s="54" t="n">
        <x:v>5</x:v>
      </x:c>
      <x:c r="R7" s="55" t="n">
        <x:f>Q7-P7</x:f>
        <x:v>1</x:v>
      </x:c>
    </x:row>
    <x:row r="8">
      <x:c r="A8" s="46" t="str">
        <x:v>R04</x:v>
      </x:c>
      <x:c r="B8" s="47" t="str">
        <x:v>Intermediate</x:v>
      </x:c>
      <x:c r="C8" s="54" t="n">
        <x:v>6</x:v>
      </x:c>
      <x:c r="D8" s="54" t="n">
        <x:v>3</x:v>
      </x:c>
      <x:c r="E8" s="54" t="n">
        <x:v>5</x:v>
      </x:c>
      <x:c r="F8" s="54" t="n">
        <x:f>E8-D8</x:f>
        <x:v>2</x:v>
      </x:c>
      <x:c r="G8" s="54" t="n">
        <x:v>6</x:v>
      </x:c>
      <x:c r="H8" s="54" t="n">
        <x:v>3</x:v>
      </x:c>
      <x:c r="I8" s="54" t="n">
        <x:v>4</x:v>
      </x:c>
      <x:c r="J8" s="54" t="n">
        <x:f>I8-H8</x:f>
        <x:v>1</x:v>
      </x:c>
      <x:c r="K8" s="54" t="n">
        <x:v>6</x:v>
      </x:c>
      <x:c r="L8" s="54" t="n">
        <x:v>4</x:v>
      </x:c>
      <x:c r="M8" s="54" t="n">
        <x:v>5</x:v>
      </x:c>
      <x:c r="N8" s="54" t="n">
        <x:f>M8-L8</x:f>
        <x:v>1</x:v>
      </x:c>
      <x:c r="O8" s="54" t="n">
        <x:v>5</x:v>
      </x:c>
      <x:c r="P8" s="54" t="n">
        <x:v>4</x:v>
      </x:c>
      <x:c r="Q8" s="54" t="n">
        <x:v>5</x:v>
      </x:c>
      <x:c r="R8" s="55" t="n">
        <x:f>Q8-P8</x:f>
        <x:v>1</x:v>
      </x:c>
    </x:row>
    <x:row r="9">
      <x:c r="A9" s="46" t="str">
        <x:v>R05</x:v>
      </x:c>
      <x:c r="B9" s="47" t="str">
        <x:v>Intermediate</x:v>
      </x:c>
      <x:c r="C9" s="54" t="n">
        <x:v>6</x:v>
      </x:c>
      <x:c r="D9" s="54" t="n">
        <x:v>3</x:v>
      </x:c>
      <x:c r="E9" s="54" t="n">
        <x:v>5</x:v>
      </x:c>
      <x:c r="F9" s="54" t="n">
        <x:f>E9-D9</x:f>
        <x:v>2</x:v>
      </x:c>
      <x:c r="G9" s="54" t="n">
        <x:v>6</x:v>
      </x:c>
      <x:c r="H9" s="54" t="n">
        <x:v>3</x:v>
      </x:c>
      <x:c r="I9" s="54" t="n">
        <x:v>4</x:v>
      </x:c>
      <x:c r="J9" s="54" t="n">
        <x:f>I9-H9</x:f>
        <x:v>1</x:v>
      </x:c>
      <x:c r="K9" s="54" t="n">
        <x:v>6</x:v>
      </x:c>
      <x:c r="L9" s="54" t="n">
        <x:v>4</x:v>
      </x:c>
      <x:c r="M9" s="54" t="n">
        <x:v>4</x:v>
      </x:c>
      <x:c r="N9" s="54" t="n">
        <x:f>M9-L9</x:f>
        <x:v>0</x:v>
      </x:c>
      <x:c r="O9" s="54" t="n">
        <x:v>5</x:v>
      </x:c>
      <x:c r="P9" s="54" t="n">
        <x:v>4</x:v>
      </x:c>
      <x:c r="Q9" s="54" t="n">
        <x:v>5</x:v>
      </x:c>
      <x:c r="R9" s="55" t="n">
        <x:f>Q9-P9</x:f>
        <x:v>1</x:v>
      </x:c>
    </x:row>
    <x:row r="10">
      <x:c r="A10" s="46" t="str">
        <x:v>R06</x:v>
      </x:c>
      <x:c r="B10" s="47" t="str">
        <x:v>Intermediate</x:v>
      </x:c>
      <x:c r="C10" s="54" t="n">
        <x:v>6</x:v>
      </x:c>
      <x:c r="D10" s="54" t="n">
        <x:v>3</x:v>
      </x:c>
      <x:c r="E10" s="54" t="n">
        <x:v>4</x:v>
      </x:c>
      <x:c r="F10" s="54" t="n">
        <x:f>E10-D10</x:f>
        <x:v>1</x:v>
      </x:c>
      <x:c r="G10" s="54" t="n">
        <x:v>6</x:v>
      </x:c>
      <x:c r="H10" s="54" t="n">
        <x:v>3</x:v>
      </x:c>
      <x:c r="I10" s="54" t="n">
        <x:v>4</x:v>
      </x:c>
      <x:c r="J10" s="54" t="n">
        <x:f>I10-H10</x:f>
        <x:v>1</x:v>
      </x:c>
      <x:c r="K10" s="54" t="n">
        <x:v>6</x:v>
      </x:c>
      <x:c r="L10" s="54" t="n">
        <x:v>3</x:v>
      </x:c>
      <x:c r="M10" s="54" t="n">
        <x:v>4</x:v>
      </x:c>
      <x:c r="N10" s="54" t="n">
        <x:f>M10-L10</x:f>
        <x:v>1</x:v>
      </x:c>
      <x:c r="O10" s="54" t="n">
        <x:v>5</x:v>
      </x:c>
      <x:c r="P10" s="54" t="n">
        <x:v>4</x:v>
      </x:c>
      <x:c r="Q10" s="54" t="n">
        <x:v>5</x:v>
      </x:c>
      <x:c r="R10" s="55" t="n">
        <x:f>Q10-P10</x:f>
        <x:v>1</x:v>
      </x:c>
    </x:row>
    <x:row r="11">
      <x:c r="A11" s="46" t="str">
        <x:v>R07</x:v>
      </x:c>
      <x:c r="B11" s="47" t="str">
        <x:v>Intermediate</x:v>
      </x:c>
      <x:c r="C11" s="54" t="n">
        <x:v>6</x:v>
      </x:c>
      <x:c r="D11" s="54" t="n">
        <x:v>3</x:v>
      </x:c>
      <x:c r="E11" s="54" t="n">
        <x:v>4</x:v>
      </x:c>
      <x:c r="F11" s="54" t="n">
        <x:f>E11-D11</x:f>
        <x:v>1</x:v>
      </x:c>
      <x:c r="G11" s="54" t="n">
        <x:v>6</x:v>
      </x:c>
      <x:c r="H11" s="54" t="n">
        <x:v>2</x:v>
      </x:c>
      <x:c r="I11" s="54" t="n">
        <x:v>3</x:v>
      </x:c>
      <x:c r="J11" s="54" t="n">
        <x:f>I11-H11</x:f>
        <x:v>1</x:v>
      </x:c>
      <x:c r="K11" s="54" t="n">
        <x:v>5</x:v>
      </x:c>
      <x:c r="L11" s="54" t="n">
        <x:v>3</x:v>
      </x:c>
      <x:c r="M11" s="54" t="n">
        <x:v>4</x:v>
      </x:c>
      <x:c r="N11" s="54" t="n">
        <x:f>M11-L11</x:f>
        <x:v>1</x:v>
      </x:c>
      <x:c r="O11" s="54" t="n">
        <x:v>5</x:v>
      </x:c>
      <x:c r="P11" s="54" t="n">
        <x:v>4</x:v>
      </x:c>
      <x:c r="Q11" s="54" t="n">
        <x:v>5</x:v>
      </x:c>
      <x:c r="R11" s="55" t="n">
        <x:f>Q11-P11</x:f>
        <x:v>1</x:v>
      </x:c>
    </x:row>
    <x:row r="12">
      <x:c r="A12" s="46" t="str">
        <x:v>R08</x:v>
      </x:c>
      <x:c r="B12" s="47" t="str">
        <x:v>Novice</x:v>
      </x:c>
      <x:c r="C12" s="54" t="n">
        <x:v>6</x:v>
      </x:c>
      <x:c r="D12" s="54" t="n">
        <x:v>3</x:v>
      </x:c>
      <x:c r="E12" s="54" t="n">
        <x:v>4</x:v>
      </x:c>
      <x:c r="F12" s="54" t="n">
        <x:f>E12-D12</x:f>
        <x:v>1</x:v>
      </x:c>
      <x:c r="G12" s="54" t="n">
        <x:v>5</x:v>
      </x:c>
      <x:c r="H12" s="54" t="n">
        <x:v>2</x:v>
      </x:c>
      <x:c r="I12" s="54" t="n">
        <x:v>3</x:v>
      </x:c>
      <x:c r="J12" s="54" t="n">
        <x:f>I12-H12</x:f>
        <x:v>1</x:v>
      </x:c>
      <x:c r="K12" s="54" t="n">
        <x:v>5</x:v>
      </x:c>
      <x:c r="L12" s="54" t="n">
        <x:v>3</x:v>
      </x:c>
      <x:c r="M12" s="54" t="n">
        <x:v>4</x:v>
      </x:c>
      <x:c r="N12" s="54" t="n">
        <x:f>M12-L12</x:f>
        <x:v>1</x:v>
      </x:c>
      <x:c r="O12" s="54" t="n">
        <x:v>5</x:v>
      </x:c>
      <x:c r="P12" s="54" t="n">
        <x:v>4</x:v>
      </x:c>
      <x:c r="Q12" s="54" t="n">
        <x:v>5</x:v>
      </x:c>
      <x:c r="R12" s="55" t="n">
        <x:f>Q12-P12</x:f>
        <x:v>1</x:v>
      </x:c>
    </x:row>
    <x:row r="13">
      <x:c r="A13" s="46" t="str">
        <x:v>R09</x:v>
      </x:c>
      <x:c r="B13" s="47" t="str">
        <x:v>Novice</x:v>
      </x:c>
      <x:c r="C13" s="54" t="n">
        <x:v>6</x:v>
      </x:c>
      <x:c r="D13" s="54" t="n">
        <x:v>2</x:v>
      </x:c>
      <x:c r="E13" s="54" t="n">
        <x:v>4</x:v>
      </x:c>
      <x:c r="F13" s="54" t="n">
        <x:f>E13-D13</x:f>
        <x:v>2</x:v>
      </x:c>
      <x:c r="G13" s="54" t="n">
        <x:v>5</x:v>
      </x:c>
      <x:c r="H13" s="54" t="n">
        <x:v>2</x:v>
      </x:c>
      <x:c r="I13" s="54" t="n">
        <x:v>3</x:v>
      </x:c>
      <x:c r="J13" s="54" t="n">
        <x:f>I13-H13</x:f>
        <x:v>1</x:v>
      </x:c>
      <x:c r="K13" s="54" t="n">
        <x:v>5</x:v>
      </x:c>
      <x:c r="L13" s="54" t="n">
        <x:v>3</x:v>
      </x:c>
      <x:c r="M13" s="54" t="n">
        <x:v>4</x:v>
      </x:c>
      <x:c r="N13" s="54" t="n">
        <x:f>M13-L13</x:f>
        <x:v>1</x:v>
      </x:c>
      <x:c r="O13" s="54" t="n">
        <x:v>5</x:v>
      </x:c>
      <x:c r="P13" s="54" t="n">
        <x:v>3</x:v>
      </x:c>
      <x:c r="Q13" s="54" t="n">
        <x:v>4</x:v>
      </x:c>
      <x:c r="R13" s="55" t="n">
        <x:f>Q13-P13</x:f>
        <x:v>1</x:v>
      </x:c>
    </x:row>
    <x:row r="14">
      <x:c r="A14" s="49" t="str">
        <x:v>R10</x:v>
      </x:c>
      <x:c r="B14" s="50" t="str">
        <x:v>Novice</x:v>
      </x:c>
      <x:c r="C14" s="56" t="n">
        <x:v>6</x:v>
      </x:c>
      <x:c r="D14" s="56" t="n">
        <x:v>2</x:v>
      </x:c>
      <x:c r="E14" s="56" t="n">
        <x:v>4</x:v>
      </x:c>
      <x:c r="F14" s="56" t="n">
        <x:f>E14-D14</x:f>
        <x:v>2</x:v>
      </x:c>
      <x:c r="G14" s="56" t="n">
        <x:v>5</x:v>
      </x:c>
      <x:c r="H14" s="56" t="n">
        <x:v>2</x:v>
      </x:c>
      <x:c r="I14" s="56" t="n">
        <x:v>3</x:v>
      </x:c>
      <x:c r="J14" s="56" t="n">
        <x:f>I14-H14</x:f>
        <x:v>1</x:v>
      </x:c>
      <x:c r="K14" s="56" t="n">
        <x:v>5</x:v>
      </x:c>
      <x:c r="L14" s="56" t="n">
        <x:v>2</x:v>
      </x:c>
      <x:c r="M14" s="56" t="n">
        <x:v>4</x:v>
      </x:c>
      <x:c r="N14" s="56" t="n">
        <x:f>M14-L14</x:f>
        <x:v>2</x:v>
      </x:c>
      <x:c r="O14" s="56" t="n">
        <x:v>5</x:v>
      </x:c>
      <x:c r="P14" s="56" t="n">
        <x:v>3</x:v>
      </x:c>
      <x:c r="Q14" s="56" t="n">
        <x:v>4</x:v>
      </x:c>
      <x:c r="R14" s="57" t="n">
        <x:f>Q14-P14</x:f>
        <x:v>1</x:v>
      </x:c>
    </x:row>
  </x:sheetData>
  <x:mergeCells>
    <x:mergeCell ref="A1:R1"/>
    <x:mergeCell ref="A2:R2"/>
  </x:mergeCells>
  <x:dataValidations count="5">
    <x:dataValidation type="list" sqref="B5:B14">
      <x:formula1>"Expert,Intermediate,Novice"</x:formula1>
    </x:dataValidation>
    <x:dataValidation type="whole" operator="between" sqref="C5:E14">
      <x:formula1>1</x:formula1>
      <x:formula2>7</x:formula2>
    </x:dataValidation>
    <x:dataValidation type="whole" operator="between" sqref="G5:I14">
      <x:formula1>1</x:formula1>
      <x:formula2>7</x:formula2>
    </x:dataValidation>
    <x:dataValidation type="whole" operator="between" sqref="K5:M14">
      <x:formula1>1</x:formula1>
      <x:formula2>7</x:formula2>
    </x:dataValidation>
    <x:dataValidation type="whole" operator="between" sqref="O5:Q1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62" hidden="0" customWidth="1"/>
    <x:col min="4" max="4" width="10" hidden="0" customWidth="1"/>
    <x:col min="5" max="5" width="20" hidden="0" customWidth="1"/>
    <x:col min="6" max="6" width="10" hidden="0" customWidth="1"/>
    <x:col min="7" max="7" width="20" hidden="0" customWidth="1"/>
  </x:cols>
  <x:sheetData>
    <x:row r="1" ht="26" customHeight="1">
      <x:c r="A1" s="3" t="str">
        <x:v>Second-round questionnaire key</x:v>
      </x:c>
      <x:c r="B1" s="3"/>
      <x:c r="C1" s="3"/>
      <x:c r="D1" s="3"/>
      <x:c r="E1" s="3"/>
      <x:c r="F1" s="3"/>
      <x:c r="G1" s="3"/>
    </x:row>
    <x:row r="2">
      <x:c r="A2" s="2"/>
      <x:c r="B2" s="2"/>
      <x:c r="C2" s="2"/>
      <x:c r="D2" s="2"/>
      <x:c r="E2" s="2"/>
      <x:c r="F2" s="2"/>
      <x:c r="G2" s="2"/>
    </x:row>
    <x:row r="3" ht="32" customHeight="1">
      <x:c r="A3" s="9" t="str">
        <x:v>Variable</x:v>
      </x:c>
      <x:c r="B3" s="9" t="str">
        <x:v>Module</x:v>
      </x:c>
      <x:c r="C3" s="9" t="str">
        <x:v>Question</x:v>
      </x:c>
      <x:c r="D3" s="9" t="str">
        <x:v>Minimum</x:v>
      </x:c>
      <x:c r="E3" s="9" t="str">
        <x:v>Minimum anchor</x:v>
      </x:c>
      <x:c r="F3" s="9" t="str">
        <x:v>Maximum</x:v>
      </x:c>
      <x:c r="G3" s="9" t="str">
        <x:v>Maximum anchor</x:v>
      </x:c>
    </x:row>
    <x:row r="4" ht="42" customHeight="1">
      <x:c r="A4" s="58" t="str">
        <x:v>Engineer U2</x:v>
      </x:c>
      <x:c r="B4" s="59" t="str">
        <x:v>Race Engineer</x:v>
      </x:c>
      <x:c r="C4" s="59" t="str">
        <x:v>How useful was the Race Engineer for understanding vehicle state and supporting your driving-related task?</x:v>
      </x:c>
      <x:c r="D4" s="59" t="n">
        <x:v>1</x:v>
      </x:c>
      <x:c r="E4" s="59" t="str">
        <x:v>Not useful at all</x:v>
      </x:c>
      <x:c r="F4" s="59" t="n">
        <x:v>7</x:v>
      </x:c>
      <x:c r="G4" s="60" t="str">
        <x:v>Extremely useful</x:v>
      </x:c>
    </x:row>
    <x:row r="5" ht="42" customHeight="1">
      <x:c r="A5" s="61" t="str">
        <x:v>Engineer E2</x:v>
      </x:c>
      <x:c r="B5" s="62" t="str">
        <x:v>Race Engineer</x:v>
      </x:c>
      <x:c r="C5" s="62" t="str">
        <x:v>How easy was the Race Engineer to understand and operate?</x:v>
      </x:c>
      <x:c r="D5" s="62" t="n">
        <x:v>1</x:v>
      </x:c>
      <x:c r="E5" s="62" t="str">
        <x:v>Very difficult</x:v>
      </x:c>
      <x:c r="F5" s="62" t="n">
        <x:v>7</x:v>
      </x:c>
      <x:c r="G5" s="63" t="str">
        <x:v>Very easy</x:v>
      </x:c>
    </x:row>
    <x:row r="6" ht="42" customHeight="1">
      <x:c r="A6" s="61" t="str">
        <x:v>Coach U2</x:v>
      </x:c>
      <x:c r="B6" s="62" t="str">
        <x:v>Coach</x:v>
      </x:c>
      <x:c r="C6" s="62" t="str">
        <x:v>How useful was the Coach for obtaining live guidance and reviewing or planning your driving?</x:v>
      </x:c>
      <x:c r="D6" s="62" t="n">
        <x:v>1</x:v>
      </x:c>
      <x:c r="E6" s="62" t="str">
        <x:v>Not useful at all</x:v>
      </x:c>
      <x:c r="F6" s="62" t="n">
        <x:v>7</x:v>
      </x:c>
      <x:c r="G6" s="63" t="str">
        <x:v>Extremely useful</x:v>
      </x:c>
    </x:row>
    <x:row r="7" ht="42" customHeight="1">
      <x:c r="A7" s="61" t="str">
        <x:v>Coach E2</x:v>
      </x:c>
      <x:c r="B7" s="62" t="str">
        <x:v>Coach</x:v>
      </x:c>
      <x:c r="C7" s="62" t="str">
        <x:v>How easy was the Coach to understand and operate?</x:v>
      </x:c>
      <x:c r="D7" s="62" t="n">
        <x:v>1</x:v>
      </x:c>
      <x:c r="E7" s="62" t="str">
        <x:v>Very difficult</x:v>
      </x:c>
      <x:c r="F7" s="62" t="n">
        <x:v>7</x:v>
      </x:c>
      <x:c r="G7" s="63" t="str">
        <x:v>Very easy</x:v>
      </x:c>
    </x:row>
    <x:row r="8" ht="42" customHeight="1">
      <x:c r="A8" s="61" t="str">
        <x:v>Commentary U2</x:v>
      </x:c>
      <x:c r="B8" s="62" t="str">
        <x:v>Commentary</x:v>
      </x:c>
      <x:c r="C8" s="62" t="str">
        <x:v>How useful was Commentary for following events during the simulation?</x:v>
      </x:c>
      <x:c r="D8" s="62" t="n">
        <x:v>1</x:v>
      </x:c>
      <x:c r="E8" s="62" t="str">
        <x:v>Not useful at all</x:v>
      </x:c>
      <x:c r="F8" s="62" t="n">
        <x:v>7</x:v>
      </x:c>
      <x:c r="G8" s="63" t="str">
        <x:v>Extremely useful</x:v>
      </x:c>
    </x:row>
    <x:row r="9" ht="42" customHeight="1">
      <x:c r="A9" s="61" t="str">
        <x:v>Commentary E2</x:v>
      </x:c>
      <x:c r="B9" s="62" t="str">
        <x:v>Commentary</x:v>
      </x:c>
      <x:c r="C9" s="62" t="str">
        <x:v>How easy was Commentary to understand and operate?</x:v>
      </x:c>
      <x:c r="D9" s="62" t="n">
        <x:v>1</x:v>
      </x:c>
      <x:c r="E9" s="62" t="str">
        <x:v>Very difficult</x:v>
      </x:c>
      <x:c r="F9" s="62" t="n">
        <x:v>7</x:v>
      </x:c>
      <x:c r="G9" s="63" t="str">
        <x:v>Very easy</x:v>
      </x:c>
    </x:row>
    <x:row r="10" ht="42" customHeight="1">
      <x:c r="A10" s="61" t="str">
        <x:v>AI Driver Bot U2</x:v>
      </x:c>
      <x:c r="B10" s="62" t="str">
        <x:v>AI Driver Bot</x:v>
      </x:c>
      <x:c r="C10" s="62" t="str">
        <x:v>How useful was the AI Driver Bot for controlling or automating the simulated driver?</x:v>
      </x:c>
      <x:c r="D10" s="62" t="n">
        <x:v>1</x:v>
      </x:c>
      <x:c r="E10" s="62" t="str">
        <x:v>Not useful at all</x:v>
      </x:c>
      <x:c r="F10" s="62" t="n">
        <x:v>7</x:v>
      </x:c>
      <x:c r="G10" s="63" t="str">
        <x:v>Extremely useful</x:v>
      </x:c>
    </x:row>
    <x:row r="11" ht="42" customHeight="1">
      <x:c r="A11" s="64" t="str">
        <x:v>AI Driver Bot E2</x:v>
      </x:c>
      <x:c r="B11" s="65" t="str">
        <x:v>AI Driver Bot</x:v>
      </x:c>
      <x:c r="C11" s="65" t="str">
        <x:v>How easy was the AI Driver Bot to understand and operate?</x:v>
      </x:c>
      <x:c r="D11" s="65" t="n">
        <x:v>1</x:v>
      </x:c>
      <x:c r="E11" s="65" t="str">
        <x:v>Very difficult</x:v>
      </x:c>
      <x:c r="F11" s="65" t="n">
        <x:v>7</x:v>
      </x:c>
      <x:c r="G11" s="66" t="str">
        <x:v>Very easy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4" hidden="0" customWidth="1"/>
  </x:cols>
  <x:sheetData>
    <x:row r="1" ht="26" customHeight="1">
      <x:c r="A1" s="3" t="str">
        <x:v>Data notes</x:v>
      </x:c>
      <x:c r="B1" s="3"/>
    </x:row>
    <x:row r="2">
      <x:c r="A2" s="2"/>
      <x:c r="B2" s="2"/>
    </x:row>
    <x:row r="3" ht="32" customHeight="1">
      <x:c r="A3" s="67" t="str">
        <x:v>Field</x:v>
      </x:c>
      <x:c r="B3" s="68" t="str">
        <x:v>Note</x:v>
      </x:c>
    </x:row>
    <x:row r="4" ht="35" customHeight="1">
      <x:c r="A4" s="69" t="str">
        <x:v>Data status</x:v>
      </x:c>
      <x:c r="B4" s="63" t="str">
        <x:v>RECONSTRUCTED</x:v>
      </x:c>
    </x:row>
    <x:row r="5" ht="35" customHeight="1">
      <x:c r="A5" s="69" t="str">
        <x:v>Source</x:v>
      </x:c>
      <x:c r="B5" s="63" t="str">
        <x:v>Bristol_Master_Thesis_Overleaf_Upload.pdf, Table C.8</x:v>
      </x:c>
    </x:row>
    <x:row r="6" ht="35" customHeight="1">
      <x:c r="A6" s="69" t="str">
        <x:v>Constraint</x:v>
      </x:c>
      <x:c r="B6" s="63" t="str">
        <x:v>Values reproduce usefulness, first ease, second ease and change exactly.</x:v>
      </x:c>
    </x:row>
    <x:row r="7" ht="35" customHeight="1">
      <x:c r="A7" s="69" t="str">
        <x:v>Usefulness interpretation</x:v>
      </x:c>
      <x:c r="B7" s="63" t="str">
        <x:v>Treated as second-round usefulness; original questionnaire needed for confirmation.</x:v>
      </x:c>
    </x:row>
    <x:row r="8" ht="35" customHeight="1">
      <x:c r="A8" s="69" t="str">
        <x:v>Pairing assumption</x:v>
      </x:c>
      <x:c r="B8" s="63" t="str">
        <x:v>R01–R10 are aligned across rounds for reconstruction only.</x:v>
      </x:c>
    </x:row>
    <x:row r="9" ht="35" customHeight="1">
      <x:c r="A9" s="70" t="str">
        <x:v>Restriction</x:v>
      </x:c>
      <x:c r="B9" s="66" t="str">
        <x:v>Do not describe these rows as original participant responses, raw data or empirical evidence.</x:v>
      </x:c>
    </x:row>
  </x:sheetData>
  <x:mergeCells>
    <x:mergeCell ref="A1:B1"/>
  </x:mergeCells>
  <x:pageMargins left="0.7" right="0.7" top="0.75" bottom="0.75" header="0.3" footer="0.3"/>
</x:worksheet>
</file>