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7f7c39baa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bb5118ca94439"/>
    <x:sheet xmlns:r="http://schemas.openxmlformats.org/officeDocument/2006/relationships" name="Participant Data" sheetId="2" r:id="Re8ad578e0c4b4bed"/>
    <x:sheet xmlns:r="http://schemas.openxmlformats.org/officeDocument/2006/relationships" name="Questionnaire Key" sheetId="3" r:id="R6a1ad4feaf5b4802"/>
    <x:sheet xmlns:r="http://schemas.openxmlformats.org/officeDocument/2006/relationships" name="Notes" sheetId="4" r:id="R570b430a04b2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9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horizontal="center" vertical="center"/>
    </x:xf>
    <x:xf numFmtId="201" fontId="1" fillId="0" borderId="11" xfId="0" applyNumberFormat="1" applyFont="1" applyFill="1" applyBorder="1" applyAlignment="1">
      <x:alignment horizontal="center" vertical="center"/>
    </x:xf>
    <x:xf numFmtId="201" fontId="1" fillId="0" borderId="12" xfId="0" applyNumberFormat="1" applyFont="1" applyFill="1" applyBorder="1" applyAlignment="1">
      <x:alignment horizontal="center" vertical="center"/>
    </x:xf>
    <x:xf numFmtId="201" fontId="1" fillId="0" borderId="14" xfId="0" applyNumberFormat="1" applyFont="1" applyFill="1" applyBorder="1" applyAlignment="1">
      <x:alignment horizontal="center" vertical="center"/>
    </x:xf>
    <x:xf numFmtId="201" fontId="1" fillId="0" borderId="15" xfId="0" applyNumberFormat="1" applyFont="1" applyFill="1" applyBorder="1" applyAlignment="1">
      <x:alignment horizontal="center" vertical="center"/>
    </x:xf>
    <x:xf numFmtId="201" fontId="1" fillId="0" borderId="17" xfId="0" applyNumberFormat="1" applyFont="1" applyFill="1" applyBorder="1" applyAlignment="1">
      <x:alignment horizontal="center" vertical="center"/>
    </x:xf>
    <x:xf numFmtId="201" fontId="1" fillId="0" borderId="18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3c881dbaa41a8" /><Relationship Type="http://schemas.openxmlformats.org/officeDocument/2006/relationships/theme" Target="/xl/theme/theme1.xml" Id="R0ff5d75ccadc4859" /><Relationship Type="http://schemas.openxmlformats.org/officeDocument/2006/relationships/sharedStrings" Target="/xl/sharedStrings.xml" Id="Reb0a5a1c814644cf" /><Relationship Type="http://schemas.openxmlformats.org/officeDocument/2006/relationships/worksheet" Target="/xl/worksheets/sheet1.xml" Id="Rd99bb5118ca94439" /><Relationship Type="http://schemas.openxmlformats.org/officeDocument/2006/relationships/worksheet" Target="/xl/worksheets/sheet2.xml" Id="Re8ad578e0c4b4bed" /><Relationship Type="http://schemas.openxmlformats.org/officeDocument/2006/relationships/worksheet" Target="/xl/worksheets/sheet3.xml" Id="R6a1ad4feaf5b4802" /><Relationship Type="http://schemas.openxmlformats.org/officeDocument/2006/relationships/worksheet" Target="/xl/worksheets/sheet4.xml" Id="R570b430a04b241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6" customHeight="1">
      <x:c r="A1" s="3" t="str">
        <x:v>Table C.4 results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5" t="str">
        <x:v>First-round module usefulness and ease-of-use ratings (1–7 scale)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9" t="str">
        <x:v>Module</x:v>
      </x:c>
      <x:c r="B4" s="9" t="str">
        <x:v>N</x:v>
      </x:c>
      <x:c r="C4" s="9" t="str">
        <x:v>Calculated U</x:v>
      </x:c>
      <x:c r="D4" s="9" t="str">
        <x:v>Calculated E</x:v>
      </x:c>
      <x:c r="E4" s="9" t="str">
        <x:v>Calculated Gap</x:v>
      </x:c>
      <x:c r="F4" s="9" t="str">
        <x:v>Thesis U</x:v>
      </x:c>
      <x:c r="G4" s="9" t="str">
        <x:v>Thesis E</x:v>
      </x:c>
      <x:c r="H4" s="9" t="str">
        <x:v>Thesis Gap</x:v>
      </x:c>
      <x:c r="I4" s="9" t="str">
        <x:v>Reconciliation</x:v>
      </x:c>
    </x:row>
    <x:row r="5">
      <x:c r="A5" s="19" t="str">
        <x:v>Engineer</x:v>
      </x:c>
      <x:c r="B5" s="25" t="n">
        <x:f>COUNT('Participant Data'!D$5:D$14)</x:f>
        <x:v>10</x:v>
      </x:c>
      <x:c r="C5" s="22" t="n">
        <x:f>AVERAGE('Participant Data'!D$5:D$14)</x:f>
        <x:v>5.8</x:v>
      </x:c>
      <x:c r="D5" s="22" t="n">
        <x:f>AVERAGE('Participant Data'!E$5:E$14)</x:f>
        <x:v>3.2</x:v>
      </x:c>
      <x:c r="E5" s="22" t="n">
        <x:f>C5-D5</x:f>
        <x:v>2.5999999999999996</x:v>
      </x:c>
      <x:c r="F5" s="22" t="n">
        <x:v>5.8</x:v>
      </x:c>
      <x:c r="G5" s="22" t="n">
        <x:v>3.2</x:v>
      </x:c>
      <x:c r="H5" s="22" t="n">
        <x:v>2.6</x:v>
      </x:c>
      <x:c r="I5" s="28" t="str">
        <x:f>IF(AND(ABS(C5-F5)&lt;0.0001,ABS(D5-G5)&lt;0.0001,ABS(E5-H5)&lt;0.0001),"MATCH","CHECK")</x:f>
        <x:v>MATCH</x:v>
      </x:c>
    </x:row>
    <x:row r="6">
      <x:c r="A6" s="20" t="str">
        <x:v>Coach</x:v>
      </x:c>
      <x:c r="B6" s="26" t="n">
        <x:f>COUNT('Participant Data'!G$5:G$14)</x:f>
        <x:v>10</x:v>
      </x:c>
      <x:c r="C6" s="23" t="n">
        <x:f>AVERAGE('Participant Data'!G$5:G$14)</x:f>
        <x:v>5.2</x:v>
      </x:c>
      <x:c r="D6" s="23" t="n">
        <x:f>AVERAGE('Participant Data'!H$5:H$14)</x:f>
        <x:v>2.8</x:v>
      </x:c>
      <x:c r="E6" s="23" t="n">
        <x:f>C6-D6</x:f>
        <x:v>2.4000000000000004</x:v>
      </x:c>
      <x:c r="F6" s="23" t="n">
        <x:v>5.2</x:v>
      </x:c>
      <x:c r="G6" s="23" t="n">
        <x:v>2.8</x:v>
      </x:c>
      <x:c r="H6" s="23" t="n">
        <x:v>2.4</x:v>
      </x:c>
      <x:c r="I6" s="29" t="str">
        <x:f>IF(AND(ABS(C6-F6)&lt;0.0001,ABS(D6-G6)&lt;0.0001,ABS(E6-H6)&lt;0.0001),"MATCH","CHECK")</x:f>
        <x:v>MATCH</x:v>
      </x:c>
    </x:row>
    <x:row r="7">
      <x:c r="A7" s="20" t="str">
        <x:v>Commentary</x:v>
      </x:c>
      <x:c r="B7" s="26" t="n">
        <x:f>COUNT('Participant Data'!J$5:J$14)</x:f>
        <x:v>10</x:v>
      </x:c>
      <x:c r="C7" s="23" t="n">
        <x:f>AVERAGE('Participant Data'!J$5:J$14)</x:f>
        <x:v>5</x:v>
      </x:c>
      <x:c r="D7" s="23" t="n">
        <x:f>AVERAGE('Participant Data'!K$5:K$14)</x:f>
        <x:v>3.5</x:v>
      </x:c>
      <x:c r="E7" s="23" t="n">
        <x:f>C7-D7</x:f>
        <x:v>1.5</x:v>
      </x:c>
      <x:c r="F7" s="23" t="n">
        <x:v>5</x:v>
      </x:c>
      <x:c r="G7" s="23" t="n">
        <x:v>3.5</x:v>
      </x:c>
      <x:c r="H7" s="23" t="n">
        <x:v>1.5</x:v>
      </x:c>
      <x:c r="I7" s="29" t="str">
        <x:f>IF(AND(ABS(C7-F7)&lt;0.0001,ABS(D7-G7)&lt;0.0001,ABS(E7-H7)&lt;0.0001),"MATCH","CHECK")</x:f>
        <x:v>MATCH</x:v>
      </x:c>
    </x:row>
    <x:row r="8">
      <x:c r="A8" s="21" t="str">
        <x:v>AI Driver Bot</x:v>
      </x:c>
      <x:c r="B8" s="27" t="n">
        <x:f>COUNT('Participant Data'!M$5:M$14)</x:f>
        <x:v>10</x:v>
      </x:c>
      <x:c r="C8" s="24" t="n">
        <x:f>AVERAGE('Participant Data'!M$5:M$14)</x:f>
        <x:v>4.8</x:v>
      </x:c>
      <x:c r="D8" s="24" t="n">
        <x:f>AVERAGE('Participant Data'!N$5:N$14)</x:f>
        <x:v>4</x:v>
      </x:c>
      <x:c r="E8" s="24" t="n">
        <x:f>C8-D8</x:f>
        <x:v>0.7999999999999998</x:v>
      </x:c>
      <x:c r="F8" s="24" t="n">
        <x:v>4.8</x:v>
      </x:c>
      <x:c r="G8" s="24" t="n">
        <x:v>4</x:v>
      </x:c>
      <x:c r="H8" s="24" t="n">
        <x:v>0.8</x:v>
      </x:c>
      <x:c r="I8" s="30" t="str">
        <x:f>IF(AND(ABS(C8-F8)&lt;0.0001,ABS(D8-G8)&lt;0.0001,ABS(E8-H8)&lt;0.0001),"MATCH","CHECK")</x:f>
        <x:v>MATCH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33" t="str">
        <x:v>Definition</x:v>
      </x:c>
      <x:c r="B11" s="34" t="str">
        <x:v>Value</x:v>
      </x:c>
      <x:c r="C11" s="2"/>
      <x:c r="D11" s="2"/>
      <x:c r="E11" s="2"/>
      <x:c r="F11" s="2"/>
      <x:c r="G11" s="2"/>
      <x:c r="H11" s="2"/>
      <x:c r="I11" s="2"/>
    </x:row>
    <x:row r="12">
      <x:c r="A12" s="13" t="str">
        <x:v>Usefulness</x:v>
      </x:c>
      <x:c r="B12" s="35" t="str">
        <x:v>1 = Not useful at all; 7 = Extremely useful</x:v>
      </x:c>
      <x:c r="C12" s="2"/>
      <x:c r="D12" s="2"/>
      <x:c r="E12" s="2"/>
      <x:c r="F12" s="2"/>
      <x:c r="G12" s="2"/>
      <x:c r="H12" s="2"/>
      <x:c r="I12" s="2"/>
    </x:row>
    <x:row r="13">
      <x:c r="A13" s="13" t="str">
        <x:v>Ease of use</x:v>
      </x:c>
      <x:c r="B13" s="35" t="str">
        <x:v>1 = Very difficult; 7 = Very easy</x:v>
      </x:c>
      <x:c r="C13" s="2"/>
      <x:c r="D13" s="2"/>
      <x:c r="E13" s="2"/>
      <x:c r="F13" s="2"/>
      <x:c r="G13" s="2"/>
      <x:c r="H13" s="2"/>
      <x:c r="I13" s="2"/>
    </x:row>
    <x:row r="14">
      <x:c r="A14" s="16" t="str">
        <x:v>Gap</x:v>
      </x:c>
      <x:c r="B14" s="36" t="str">
        <x:v>Mean usefulness minus mean ease of use</x:v>
      </x:c>
      <x:c r="C14" s="2"/>
      <x:c r="D14" s="2"/>
      <x:c r="E14" s="2"/>
      <x:c r="F14" s="2"/>
      <x:c r="G14" s="2"/>
      <x:c r="H14" s="2"/>
      <x:c r="I14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3" t="str">
        <x:v>Table C.4 participant-level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5" t="str">
        <x:v>RECONSTRUCTED: values are constrained to match the published aggregates and are not original participant records.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0" customHeight="1">
      <x:c r="A4" s="9" t="str">
        <x:v>Participant ID</x:v>
      </x:c>
      <x:c r="B4" s="9" t="str">
        <x:v>Experience</x:v>
      </x:c>
      <x:c r="C4" s="9" t="str">
        <x:v>Round</x:v>
      </x:c>
      <x:c r="D4" s="9" t="str">
        <x:v>Engineer U</x:v>
      </x:c>
      <x:c r="E4" s="9" t="str">
        <x:v>Engineer E</x:v>
      </x:c>
      <x:c r="F4" s="9" t="str">
        <x:v>Engineer Gap</x:v>
      </x:c>
      <x:c r="G4" s="9" t="str">
        <x:v>Coach U</x:v>
      </x:c>
      <x:c r="H4" s="9" t="str">
        <x:v>Coach E</x:v>
      </x:c>
      <x:c r="I4" s="9" t="str">
        <x:v>Coach Gap</x:v>
      </x:c>
      <x:c r="J4" s="9" t="str">
        <x:v>Commentary U</x:v>
      </x:c>
      <x:c r="K4" s="9" t="str">
        <x:v>Commentary E</x:v>
      </x:c>
      <x:c r="L4" s="9" t="str">
        <x:v>Commentary Gap</x:v>
      </x:c>
      <x:c r="M4" s="9" t="str">
        <x:v>AI Driver Bot U</x:v>
      </x:c>
      <x:c r="N4" s="9" t="str">
        <x:v>AI Driver Bot E</x:v>
      </x:c>
      <x:c r="O4" s="9" t="str">
        <x:v>AI Driver Bot Gap</x:v>
      </x:c>
    </x:row>
    <x:row r="5">
      <x:c r="A5" s="46" t="str">
        <x:v>R01</x:v>
      </x:c>
      <x:c r="B5" s="47" t="str">
        <x:v>Expert</x:v>
      </x:c>
      <x:c r="C5" s="47" t="n">
        <x:v>1</x:v>
      </x:c>
      <x:c r="D5" s="55" t="n">
        <x:v>7</x:v>
      </x:c>
      <x:c r="E5" s="55" t="n">
        <x:v>5</x:v>
      </x:c>
      <x:c r="F5" s="55" t="n">
        <x:f>D5-E5</x:f>
        <x:v>2</x:v>
      </x:c>
      <x:c r="G5" s="55" t="n">
        <x:v>6</x:v>
      </x:c>
      <x:c r="H5" s="55" t="n">
        <x:v>4</x:v>
      </x:c>
      <x:c r="I5" s="55" t="n">
        <x:f>G5-H5</x:f>
        <x:v>2</x:v>
      </x:c>
      <x:c r="J5" s="55" t="n">
        <x:v>6</x:v>
      </x:c>
      <x:c r="K5" s="55" t="n">
        <x:v>5</x:v>
      </x:c>
      <x:c r="L5" s="55" t="n">
        <x:f>J5-K5</x:f>
        <x:v>1</x:v>
      </x:c>
      <x:c r="M5" s="55" t="n">
        <x:v>5</x:v>
      </x:c>
      <x:c r="N5" s="55" t="n">
        <x:v>5</x:v>
      </x:c>
      <x:c r="O5" s="56" t="n">
        <x:f>M5-N5</x:f>
        <x:v>0</x:v>
      </x:c>
    </x:row>
    <x:row r="6">
      <x:c r="A6" s="48" t="str">
        <x:v>R02</x:v>
      </x:c>
      <x:c r="B6" s="49" t="str">
        <x:v>Expert</x:v>
      </x:c>
      <x:c r="C6" s="49" t="n">
        <x:v>1</x:v>
      </x:c>
      <x:c r="D6" s="57" t="n">
        <x:v>6</x:v>
      </x:c>
      <x:c r="E6" s="57" t="n">
        <x:v>4</x:v>
      </x:c>
      <x:c r="F6" s="57" t="n">
        <x:f>D6-E6</x:f>
        <x:v>2</x:v>
      </x:c>
      <x:c r="G6" s="57" t="n">
        <x:v>6</x:v>
      </x:c>
      <x:c r="H6" s="57" t="n">
        <x:v>4</x:v>
      </x:c>
      <x:c r="I6" s="57" t="n">
        <x:f>G6-H6</x:f>
        <x:v>2</x:v>
      </x:c>
      <x:c r="J6" s="57" t="n">
        <x:v>5</x:v>
      </x:c>
      <x:c r="K6" s="57" t="n">
        <x:v>4</x:v>
      </x:c>
      <x:c r="L6" s="57" t="n">
        <x:f>J6-K6</x:f>
        <x:v>1</x:v>
      </x:c>
      <x:c r="M6" s="57" t="n">
        <x:v>5</x:v>
      </x:c>
      <x:c r="N6" s="57" t="n">
        <x:v>5</x:v>
      </x:c>
      <x:c r="O6" s="58" t="n">
        <x:f>M6-N6</x:f>
        <x:v>0</x:v>
      </x:c>
    </x:row>
    <x:row r="7">
      <x:c r="A7" s="48" t="str">
        <x:v>R03</x:v>
      </x:c>
      <x:c r="B7" s="49" t="str">
        <x:v>Expert</x:v>
      </x:c>
      <x:c r="C7" s="49" t="n">
        <x:v>1</x:v>
      </x:c>
      <x:c r="D7" s="57" t="n">
        <x:v>6</x:v>
      </x:c>
      <x:c r="E7" s="57" t="n">
        <x:v>4</x:v>
      </x:c>
      <x:c r="F7" s="57" t="n">
        <x:f>D7-E7</x:f>
        <x:v>2</x:v>
      </x:c>
      <x:c r="G7" s="57" t="n">
        <x:v>5</x:v>
      </x:c>
      <x:c r="H7" s="57" t="n">
        <x:v>3</x:v>
      </x:c>
      <x:c r="I7" s="57" t="n">
        <x:f>G7-H7</x:f>
        <x:v>2</x:v>
      </x:c>
      <x:c r="J7" s="57" t="n">
        <x:v>5</x:v>
      </x:c>
      <x:c r="K7" s="57" t="n">
        <x:v>4</x:v>
      </x:c>
      <x:c r="L7" s="57" t="n">
        <x:f>J7-K7</x:f>
        <x:v>1</x:v>
      </x:c>
      <x:c r="M7" s="57" t="n">
        <x:v>5</x:v>
      </x:c>
      <x:c r="N7" s="57" t="n">
        <x:v>4</x:v>
      </x:c>
      <x:c r="O7" s="58" t="n">
        <x:f>M7-N7</x:f>
        <x:v>1</x:v>
      </x:c>
    </x:row>
    <x:row r="8">
      <x:c r="A8" s="48" t="str">
        <x:v>R04</x:v>
      </x:c>
      <x:c r="B8" s="49" t="str">
        <x:v>Intermediate</x:v>
      </x:c>
      <x:c r="C8" s="49" t="n">
        <x:v>1</x:v>
      </x:c>
      <x:c r="D8" s="57" t="n">
        <x:v>6</x:v>
      </x:c>
      <x:c r="E8" s="57" t="n">
        <x:v>3</x:v>
      </x:c>
      <x:c r="F8" s="57" t="n">
        <x:f>D8-E8</x:f>
        <x:v>3</x:v>
      </x:c>
      <x:c r="G8" s="57" t="n">
        <x:v>6</x:v>
      </x:c>
      <x:c r="H8" s="57" t="n">
        <x:v>3</x:v>
      </x:c>
      <x:c r="I8" s="57" t="n">
        <x:f>G8-H8</x:f>
        <x:v>3</x:v>
      </x:c>
      <x:c r="J8" s="57" t="n">
        <x:v>6</x:v>
      </x:c>
      <x:c r="K8" s="57" t="n">
        <x:v>4</x:v>
      </x:c>
      <x:c r="L8" s="57" t="n">
        <x:f>J8-K8</x:f>
        <x:v>2</x:v>
      </x:c>
      <x:c r="M8" s="57" t="n">
        <x:v>5</x:v>
      </x:c>
      <x:c r="N8" s="57" t="n">
        <x:v>4</x:v>
      </x:c>
      <x:c r="O8" s="58" t="n">
        <x:f>M8-N8</x:f>
        <x:v>1</x:v>
      </x:c>
    </x:row>
    <x:row r="9">
      <x:c r="A9" s="48" t="str">
        <x:v>R05</x:v>
      </x:c>
      <x:c r="B9" s="49" t="str">
        <x:v>Intermediate</x:v>
      </x:c>
      <x:c r="C9" s="49" t="n">
        <x:v>1</x:v>
      </x:c>
      <x:c r="D9" s="57" t="n">
        <x:v>6</x:v>
      </x:c>
      <x:c r="E9" s="57" t="n">
        <x:v>3</x:v>
      </x:c>
      <x:c r="F9" s="57" t="n">
        <x:f>D9-E9</x:f>
        <x:v>3</x:v>
      </x:c>
      <x:c r="G9" s="57" t="n">
        <x:v>5</x:v>
      </x:c>
      <x:c r="H9" s="57" t="n">
        <x:v>3</x:v>
      </x:c>
      <x:c r="I9" s="57" t="n">
        <x:f>G9-H9</x:f>
        <x:v>2</x:v>
      </x:c>
      <x:c r="J9" s="57" t="n">
        <x:v>5</x:v>
      </x:c>
      <x:c r="K9" s="57" t="n">
        <x:v>4</x:v>
      </x:c>
      <x:c r="L9" s="57" t="n">
        <x:f>J9-K9</x:f>
        <x:v>1</x:v>
      </x:c>
      <x:c r="M9" s="57" t="n">
        <x:v>5</x:v>
      </x:c>
      <x:c r="N9" s="57" t="n">
        <x:v>4</x:v>
      </x:c>
      <x:c r="O9" s="58" t="n">
        <x:f>M9-N9</x:f>
        <x:v>1</x:v>
      </x:c>
    </x:row>
    <x:row r="10">
      <x:c r="A10" s="48" t="str">
        <x:v>R06</x:v>
      </x:c>
      <x:c r="B10" s="49" t="str">
        <x:v>Intermediate</x:v>
      </x:c>
      <x:c r="C10" s="49" t="n">
        <x:v>1</x:v>
      </x:c>
      <x:c r="D10" s="57" t="n">
        <x:v>6</x:v>
      </x:c>
      <x:c r="E10" s="57" t="n">
        <x:v>3</x:v>
      </x:c>
      <x:c r="F10" s="57" t="n">
        <x:f>D10-E10</x:f>
        <x:v>3</x:v>
      </x:c>
      <x:c r="G10" s="57" t="n">
        <x:v>5</x:v>
      </x:c>
      <x:c r="H10" s="57" t="n">
        <x:v>3</x:v>
      </x:c>
      <x:c r="I10" s="57" t="n">
        <x:f>G10-H10</x:f>
        <x:v>2</x:v>
      </x:c>
      <x:c r="J10" s="57" t="n">
        <x:v>5</x:v>
      </x:c>
      <x:c r="K10" s="57" t="n">
        <x:v>3</x:v>
      </x:c>
      <x:c r="L10" s="57" t="n">
        <x:f>J10-K10</x:f>
        <x:v>2</x:v>
      </x:c>
      <x:c r="M10" s="57" t="n">
        <x:v>5</x:v>
      </x:c>
      <x:c r="N10" s="57" t="n">
        <x:v>4</x:v>
      </x:c>
      <x:c r="O10" s="58" t="n">
        <x:f>M10-N10</x:f>
        <x:v>1</x:v>
      </x:c>
    </x:row>
    <x:row r="11">
      <x:c r="A11" s="48" t="str">
        <x:v>R07</x:v>
      </x:c>
      <x:c r="B11" s="49" t="str">
        <x:v>Intermediate</x:v>
      </x:c>
      <x:c r="C11" s="49" t="n">
        <x:v>1</x:v>
      </x:c>
      <x:c r="D11" s="57" t="n">
        <x:v>5</x:v>
      </x:c>
      <x:c r="E11" s="57" t="n">
        <x:v>3</x:v>
      </x:c>
      <x:c r="F11" s="57" t="n">
        <x:f>D11-E11</x:f>
        <x:v>2</x:v>
      </x:c>
      <x:c r="G11" s="57" t="n">
        <x:v>5</x:v>
      </x:c>
      <x:c r="H11" s="57" t="n">
        <x:v>2</x:v>
      </x:c>
      <x:c r="I11" s="57" t="n">
        <x:f>G11-H11</x:f>
        <x:v>3</x:v>
      </x:c>
      <x:c r="J11" s="57" t="n">
        <x:v>5</x:v>
      </x:c>
      <x:c r="K11" s="57" t="n">
        <x:v>3</x:v>
      </x:c>
      <x:c r="L11" s="57" t="n">
        <x:f>J11-K11</x:f>
        <x:v>2</x:v>
      </x:c>
      <x:c r="M11" s="57" t="n">
        <x:v>5</x:v>
      </x:c>
      <x:c r="N11" s="57" t="n">
        <x:v>4</x:v>
      </x:c>
      <x:c r="O11" s="58" t="n">
        <x:f>M11-N11</x:f>
        <x:v>1</x:v>
      </x:c>
    </x:row>
    <x:row r="12">
      <x:c r="A12" s="48" t="str">
        <x:v>R08</x:v>
      </x:c>
      <x:c r="B12" s="49" t="str">
        <x:v>Novice</x:v>
      </x:c>
      <x:c r="C12" s="49" t="n">
        <x:v>1</x:v>
      </x:c>
      <x:c r="D12" s="57" t="n">
        <x:v>6</x:v>
      </x:c>
      <x:c r="E12" s="57" t="n">
        <x:v>3</x:v>
      </x:c>
      <x:c r="F12" s="57" t="n">
        <x:f>D12-E12</x:f>
        <x:v>3</x:v>
      </x:c>
      <x:c r="G12" s="57" t="n">
        <x:v>5</x:v>
      </x:c>
      <x:c r="H12" s="57" t="n">
        <x:v>2</x:v>
      </x:c>
      <x:c r="I12" s="57" t="n">
        <x:f>G12-H12</x:f>
        <x:v>3</x:v>
      </x:c>
      <x:c r="J12" s="57" t="n">
        <x:v>5</x:v>
      </x:c>
      <x:c r="K12" s="57" t="n">
        <x:v>3</x:v>
      </x:c>
      <x:c r="L12" s="57" t="n">
        <x:f>J12-K12</x:f>
        <x:v>2</x:v>
      </x:c>
      <x:c r="M12" s="57" t="n">
        <x:v>5</x:v>
      </x:c>
      <x:c r="N12" s="57" t="n">
        <x:v>4</x:v>
      </x:c>
      <x:c r="O12" s="58" t="n">
        <x:f>M12-N12</x:f>
        <x:v>1</x:v>
      </x:c>
    </x:row>
    <x:row r="13">
      <x:c r="A13" s="48" t="str">
        <x:v>R09</x:v>
      </x:c>
      <x:c r="B13" s="49" t="str">
        <x:v>Novice</x:v>
      </x:c>
      <x:c r="C13" s="49" t="n">
        <x:v>1</x:v>
      </x:c>
      <x:c r="D13" s="57" t="n">
        <x:v>5</x:v>
      </x:c>
      <x:c r="E13" s="57" t="n">
        <x:v>2</x:v>
      </x:c>
      <x:c r="F13" s="57" t="n">
        <x:f>D13-E13</x:f>
        <x:v>3</x:v>
      </x:c>
      <x:c r="G13" s="57" t="n">
        <x:v>5</x:v>
      </x:c>
      <x:c r="H13" s="57" t="n">
        <x:v>2</x:v>
      </x:c>
      <x:c r="I13" s="57" t="n">
        <x:f>G13-H13</x:f>
        <x:v>3</x:v>
      </x:c>
      <x:c r="J13" s="57" t="n">
        <x:v>4</x:v>
      </x:c>
      <x:c r="K13" s="57" t="n">
        <x:v>3</x:v>
      </x:c>
      <x:c r="L13" s="57" t="n">
        <x:f>J13-K13</x:f>
        <x:v>1</x:v>
      </x:c>
      <x:c r="M13" s="57" t="n">
        <x:v>4</x:v>
      </x:c>
      <x:c r="N13" s="57" t="n">
        <x:v>3</x:v>
      </x:c>
      <x:c r="O13" s="58" t="n">
        <x:f>M13-N13</x:f>
        <x:v>1</x:v>
      </x:c>
    </x:row>
    <x:row r="14">
      <x:c r="A14" s="50" t="str">
        <x:v>R10</x:v>
      </x:c>
      <x:c r="B14" s="51" t="str">
        <x:v>Novice</x:v>
      </x:c>
      <x:c r="C14" s="51" t="n">
        <x:v>1</x:v>
      </x:c>
      <x:c r="D14" s="59" t="n">
        <x:v>5</x:v>
      </x:c>
      <x:c r="E14" s="59" t="n">
        <x:v>2</x:v>
      </x:c>
      <x:c r="F14" s="59" t="n">
        <x:f>D14-E14</x:f>
        <x:v>3</x:v>
      </x:c>
      <x:c r="G14" s="59" t="n">
        <x:v>4</x:v>
      </x:c>
      <x:c r="H14" s="59" t="n">
        <x:v>2</x:v>
      </x:c>
      <x:c r="I14" s="59" t="n">
        <x:f>G14-H14</x:f>
        <x:v>2</x:v>
      </x:c>
      <x:c r="J14" s="59" t="n">
        <x:v>4</x:v>
      </x:c>
      <x:c r="K14" s="59" t="n">
        <x:v>2</x:v>
      </x:c>
      <x:c r="L14" s="59" t="n">
        <x:f>J14-K14</x:f>
        <x:v>2</x:v>
      </x:c>
      <x:c r="M14" s="59" t="n">
        <x:v>4</x:v>
      </x:c>
      <x:c r="N14" s="59" t="n">
        <x:v>3</x:v>
      </x:c>
      <x:c r="O14" s="60" t="n">
        <x:f>M14-N14</x:f>
        <x:v>1</x:v>
      </x:c>
    </x:row>
  </x:sheetData>
  <x:mergeCells>
    <x:mergeCell ref="A1:O1"/>
    <x:mergeCell ref="A2:O2"/>
  </x:mergeCells>
  <x:dataValidations count="6">
    <x:dataValidation type="list" sqref="B5:B14">
      <x:formula1>"Expert,Intermediate,Novice"</x:formula1>
    </x:dataValidation>
    <x:dataValidation type="whole" operator="between" sqref="C5:C14">
      <x:formula1>1</x:formula1>
      <x:formula2>2</x:formula2>
    </x:dataValidation>
    <x:dataValidation type="whole" operator="between" sqref="D5:E14">
      <x:formula1>1</x:formula1>
      <x:formula2>7</x:formula2>
    </x:dataValidation>
    <x:dataValidation type="whole" operator="between" sqref="G5:H14">
      <x:formula1>1</x:formula1>
      <x:formula2>7</x:formula2>
    </x:dataValidation>
    <x:dataValidation type="whole" operator="between" sqref="J5:K14">
      <x:formula1>1</x:formula1>
      <x:formula2>7</x:formula2>
    </x:dataValidation>
    <x:dataValidation type="whole" operator="between" sqref="M5:N1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62" hidden="0" customWidth="1"/>
    <x:col min="4" max="4" width="10" hidden="0" customWidth="1"/>
    <x:col min="5" max="5" width="20" hidden="0" customWidth="1"/>
    <x:col min="6" max="6" width="10" hidden="0" customWidth="1"/>
    <x:col min="7" max="7" width="20" hidden="0" customWidth="1"/>
  </x:cols>
  <x:sheetData>
    <x:row r="1" ht="26" customHeight="1">
      <x:c r="A1" s="3" t="str">
        <x:v>Questionnaire key</x:v>
      </x:c>
      <x:c r="B1" s="3"/>
      <x:c r="C1" s="3"/>
      <x:c r="D1" s="3"/>
      <x:c r="E1" s="3"/>
      <x:c r="F1" s="3"/>
      <x:c r="G1" s="3"/>
    </x:row>
    <x:row r="2">
      <x:c r="A2" s="2"/>
      <x:c r="B2" s="2"/>
      <x:c r="C2" s="2"/>
      <x:c r="D2" s="2"/>
      <x:c r="E2" s="2"/>
      <x:c r="F2" s="2"/>
      <x:c r="G2" s="2"/>
    </x:row>
    <x:row r="3" ht="30" customHeight="1">
      <x:c r="A3" s="9" t="str">
        <x:v>Variable</x:v>
      </x:c>
      <x:c r="B3" s="9" t="str">
        <x:v>Module</x:v>
      </x:c>
      <x:c r="C3" s="9" t="str">
        <x:v>Question</x:v>
      </x:c>
      <x:c r="D3" s="9" t="str">
        <x:v>Minimum</x:v>
      </x:c>
      <x:c r="E3" s="9" t="str">
        <x:v>Minimum anchor</x:v>
      </x:c>
      <x:c r="F3" s="9" t="str">
        <x:v>Maximum</x:v>
      </x:c>
      <x:c r="G3" s="9" t="str">
        <x:v>Maximum anchor</x:v>
      </x:c>
    </x:row>
    <x:row r="4" ht="42" customHeight="1">
      <x:c r="A4" s="61" t="str">
        <x:v>Engineer U</x:v>
      </x:c>
      <x:c r="B4" s="62" t="str">
        <x:v>Race Engineer</x:v>
      </x:c>
      <x:c r="C4" s="62" t="str">
        <x:v>How useful was the Race Engineer for understanding vehicle state and supporting your driving-related task?</x:v>
      </x:c>
      <x:c r="D4" s="62" t="n">
        <x:v>1</x:v>
      </x:c>
      <x:c r="E4" s="62" t="str">
        <x:v>Not useful at all</x:v>
      </x:c>
      <x:c r="F4" s="62" t="n">
        <x:v>7</x:v>
      </x:c>
      <x:c r="G4" s="63" t="str">
        <x:v>Extremely useful</x:v>
      </x:c>
    </x:row>
    <x:row r="5" ht="42" customHeight="1">
      <x:c r="A5" s="64" t="str">
        <x:v>Engineer E</x:v>
      </x:c>
      <x:c r="B5" s="65" t="str">
        <x:v>Race Engineer</x:v>
      </x:c>
      <x:c r="C5" s="65" t="str">
        <x:v>How easy was the Race Engineer to understand and operate?</x:v>
      </x:c>
      <x:c r="D5" s="65" t="n">
        <x:v>1</x:v>
      </x:c>
      <x:c r="E5" s="65" t="str">
        <x:v>Very difficult</x:v>
      </x:c>
      <x:c r="F5" s="65" t="n">
        <x:v>7</x:v>
      </x:c>
      <x:c r="G5" s="66" t="str">
        <x:v>Very easy</x:v>
      </x:c>
    </x:row>
    <x:row r="6" ht="42" customHeight="1">
      <x:c r="A6" s="64" t="str">
        <x:v>Coach U</x:v>
      </x:c>
      <x:c r="B6" s="65" t="str">
        <x:v>Coach</x:v>
      </x:c>
      <x:c r="C6" s="65" t="str">
        <x:v>How useful was the Coach for obtaining live guidance and reviewing or planning your driving?</x:v>
      </x:c>
      <x:c r="D6" s="65" t="n">
        <x:v>1</x:v>
      </x:c>
      <x:c r="E6" s="65" t="str">
        <x:v>Not useful at all</x:v>
      </x:c>
      <x:c r="F6" s="65" t="n">
        <x:v>7</x:v>
      </x:c>
      <x:c r="G6" s="66" t="str">
        <x:v>Extremely useful</x:v>
      </x:c>
    </x:row>
    <x:row r="7" ht="42" customHeight="1">
      <x:c r="A7" s="64" t="str">
        <x:v>Coach E</x:v>
      </x:c>
      <x:c r="B7" s="65" t="str">
        <x:v>Coach</x:v>
      </x:c>
      <x:c r="C7" s="65" t="str">
        <x:v>How easy was the Coach to understand and operate?</x:v>
      </x:c>
      <x:c r="D7" s="65" t="n">
        <x:v>1</x:v>
      </x:c>
      <x:c r="E7" s="65" t="str">
        <x:v>Very difficult</x:v>
      </x:c>
      <x:c r="F7" s="65" t="n">
        <x:v>7</x:v>
      </x:c>
      <x:c r="G7" s="66" t="str">
        <x:v>Very easy</x:v>
      </x:c>
    </x:row>
    <x:row r="8" ht="42" customHeight="1">
      <x:c r="A8" s="64" t="str">
        <x:v>Commentary U</x:v>
      </x:c>
      <x:c r="B8" s="65" t="str">
        <x:v>Commentary</x:v>
      </x:c>
      <x:c r="C8" s="65" t="str">
        <x:v>How useful was Commentary for following events during the simulation?</x:v>
      </x:c>
      <x:c r="D8" s="65" t="n">
        <x:v>1</x:v>
      </x:c>
      <x:c r="E8" s="65" t="str">
        <x:v>Not useful at all</x:v>
      </x:c>
      <x:c r="F8" s="65" t="n">
        <x:v>7</x:v>
      </x:c>
      <x:c r="G8" s="66" t="str">
        <x:v>Extremely useful</x:v>
      </x:c>
    </x:row>
    <x:row r="9" ht="42" customHeight="1">
      <x:c r="A9" s="64" t="str">
        <x:v>Commentary E</x:v>
      </x:c>
      <x:c r="B9" s="65" t="str">
        <x:v>Commentary</x:v>
      </x:c>
      <x:c r="C9" s="65" t="str">
        <x:v>How easy was Commentary to understand and operate?</x:v>
      </x:c>
      <x:c r="D9" s="65" t="n">
        <x:v>1</x:v>
      </x:c>
      <x:c r="E9" s="65" t="str">
        <x:v>Very difficult</x:v>
      </x:c>
      <x:c r="F9" s="65" t="n">
        <x:v>7</x:v>
      </x:c>
      <x:c r="G9" s="66" t="str">
        <x:v>Very easy</x:v>
      </x:c>
    </x:row>
    <x:row r="10" ht="42" customHeight="1">
      <x:c r="A10" s="64" t="str">
        <x:v>AI Driver Bot U</x:v>
      </x:c>
      <x:c r="B10" s="65" t="str">
        <x:v>AI Driver Bot</x:v>
      </x:c>
      <x:c r="C10" s="65" t="str">
        <x:v>How useful was the AI Driver Bot for controlling or automating the simulated driver?</x:v>
      </x:c>
      <x:c r="D10" s="65" t="n">
        <x:v>1</x:v>
      </x:c>
      <x:c r="E10" s="65" t="str">
        <x:v>Not useful at all</x:v>
      </x:c>
      <x:c r="F10" s="65" t="n">
        <x:v>7</x:v>
      </x:c>
      <x:c r="G10" s="66" t="str">
        <x:v>Extremely useful</x:v>
      </x:c>
    </x:row>
    <x:row r="11" ht="42" customHeight="1">
      <x:c r="A11" s="67" t="str">
        <x:v>AI Driver Bot E</x:v>
      </x:c>
      <x:c r="B11" s="68" t="str">
        <x:v>AI Driver Bot</x:v>
      </x:c>
      <x:c r="C11" s="68" t="str">
        <x:v>How easy was the AI Driver Bot to understand and operate?</x:v>
      </x:c>
      <x:c r="D11" s="68" t="n">
        <x:v>1</x:v>
      </x:c>
      <x:c r="E11" s="68" t="str">
        <x:v>Very difficult</x:v>
      </x:c>
      <x:c r="F11" s="68" t="n">
        <x:v>7</x:v>
      </x:c>
      <x:c r="G11" s="69" t="str">
        <x:v>Very easy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26" customHeight="1">
      <x:c r="A1" s="3" t="str">
        <x:v>Data notes</x:v>
      </x:c>
      <x:c r="B1" s="3"/>
    </x:row>
    <x:row r="2">
      <x:c r="A2" s="2"/>
      <x:c r="B2" s="2"/>
    </x:row>
    <x:row r="3" ht="30" customHeight="1">
      <x:c r="A3" s="70" t="str">
        <x:v>Field</x:v>
      </x:c>
      <x:c r="B3" s="71" t="str">
        <x:v>Note</x:v>
      </x:c>
    </x:row>
    <x:row r="4" ht="34" customHeight="1">
      <x:c r="A4" s="72" t="str">
        <x:v>Data status</x:v>
      </x:c>
      <x:c r="B4" s="66" t="str">
        <x:v>RECONSTRUCTED</x:v>
      </x:c>
    </x:row>
    <x:row r="5" ht="34" customHeight="1">
      <x:c r="A5" s="72" t="str">
        <x:v>Source</x:v>
      </x:c>
      <x:c r="B5" s="66" t="str">
        <x:v>Bristol_Master_Thesis_Overleaf_Upload.pdf, Table C.4</x:v>
      </x:c>
    </x:row>
    <x:row r="6" ht="34" customHeight="1">
      <x:c r="A6" s="72" t="str">
        <x:v>Constraint</x:v>
      </x:c>
      <x:c r="B6" s="66" t="str">
        <x:v>Participant-level values reproduce the published module means exactly.</x:v>
      </x:c>
    </x:row>
    <x:row r="7" ht="34" customHeight="1">
      <x:c r="A7" s="72" t="str">
        <x:v>Permitted use</x:v>
      </x:c>
      <x:c r="B7" s="66" t="str">
        <x:v>Calculation checks, chart reproduction and clearly labelled reconstructed appendices.</x:v>
      </x:c>
    </x:row>
    <x:row r="8" ht="34" customHeight="1">
      <x:c r="A8" s="73" t="str">
        <x:v>Not permitted</x:v>
      </x:c>
      <x:c r="B8" s="69" t="str">
        <x:v>Do not describe these rows as original participant responses, raw data or empirical evidence.</x:v>
      </x:c>
    </x:row>
  </x:sheetData>
  <x:mergeCells>
    <x:mergeCell ref="A1:B1"/>
  </x:mergeCells>
  <x:pageMargins left="0.7" right="0.7" top="0.75" bottom="0.75" header="0.3" footer="0.3"/>
</x:worksheet>
</file>