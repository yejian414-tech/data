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13061\OneDrive\Desktop\"/>
    </mc:Choice>
  </mc:AlternateContent>
  <xr:revisionPtr revIDLastSave="0" documentId="13_ncr:1_{B1D813D1-C29B-4D5F-B779-22CB40103B36}" xr6:coauthVersionLast="47" xr6:coauthVersionMax="47" xr10:uidLastSave="{00000000-0000-0000-0000-000000000000}"/>
  <bookViews>
    <workbookView xWindow="675" yWindow="5115" windowWidth="28800" windowHeight="15345" activeTab="2" xr2:uid="{00000000-000D-0000-FFFF-FFFF00000000}"/>
  </bookViews>
  <sheets>
    <sheet name="Summary" sheetId="1" r:id="rId1"/>
    <sheet name="Participant Data" sheetId="2" r:id="rId2"/>
    <sheet name="Questionnaire Key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14" i="2" l="1"/>
  <c r="L14" i="2"/>
  <c r="I14" i="2"/>
  <c r="F14" i="2"/>
  <c r="O13" i="2"/>
  <c r="L13" i="2"/>
  <c r="I13" i="2"/>
  <c r="F13" i="2"/>
  <c r="O12" i="2"/>
  <c r="L12" i="2"/>
  <c r="I12" i="2"/>
  <c r="F12" i="2"/>
  <c r="O11" i="2"/>
  <c r="L11" i="2"/>
  <c r="I11" i="2"/>
  <c r="F11" i="2"/>
  <c r="O10" i="2"/>
  <c r="L10" i="2"/>
  <c r="I10" i="2"/>
  <c r="F10" i="2"/>
  <c r="O9" i="2"/>
  <c r="L9" i="2"/>
  <c r="I9" i="2"/>
  <c r="F9" i="2"/>
  <c r="O8" i="2"/>
  <c r="L8" i="2"/>
  <c r="I8" i="2"/>
  <c r="F8" i="2"/>
  <c r="O7" i="2"/>
  <c r="L7" i="2"/>
  <c r="I7" i="2"/>
  <c r="F7" i="2"/>
  <c r="O6" i="2"/>
  <c r="L6" i="2"/>
  <c r="I6" i="2"/>
  <c r="F6" i="2"/>
  <c r="O5" i="2"/>
  <c r="L5" i="2"/>
  <c r="I5" i="2"/>
  <c r="F5" i="2"/>
  <c r="D8" i="1"/>
  <c r="C8" i="1"/>
  <c r="B8" i="1"/>
  <c r="D7" i="1"/>
  <c r="C7" i="1"/>
  <c r="B7" i="1"/>
  <c r="D6" i="1"/>
  <c r="C6" i="1"/>
  <c r="B6" i="1"/>
  <c r="D5" i="1"/>
  <c r="C5" i="1"/>
  <c r="B5" i="1"/>
  <c r="E8" i="1" l="1"/>
  <c r="I8" i="1" s="1"/>
  <c r="I7" i="1"/>
  <c r="E7" i="1"/>
  <c r="E6" i="1"/>
  <c r="I6" i="1" s="1"/>
  <c r="E5" i="1"/>
  <c r="I5" i="1" s="1"/>
</calcChain>
</file>

<file path=xl/sharedStrings.xml><?xml version="1.0" encoding="utf-8"?>
<sst xmlns="http://schemas.openxmlformats.org/spreadsheetml/2006/main" count="107" uniqueCount="72">
  <si>
    <t>Table C.4 results</t>
  </si>
  <si>
    <t>First-round module usefulness and ease-of-use ratings (1–7 scale)</t>
  </si>
  <si>
    <t>Module</t>
  </si>
  <si>
    <t>N</t>
  </si>
  <si>
    <t>Calculated U</t>
  </si>
  <si>
    <t>Calculated E</t>
  </si>
  <si>
    <t>Calculated Gap</t>
  </si>
  <si>
    <t>Thesis U</t>
  </si>
  <si>
    <t>Thesis E</t>
  </si>
  <si>
    <t>Thesis Gap</t>
  </si>
  <si>
    <t>Reconciliation</t>
  </si>
  <si>
    <t>Engineer</t>
  </si>
  <si>
    <t>Coach</t>
  </si>
  <si>
    <t>Commentary</t>
  </si>
  <si>
    <t>AI Driver Bot</t>
  </si>
  <si>
    <t>Definition</t>
  </si>
  <si>
    <t>Value</t>
  </si>
  <si>
    <t>Usefulness</t>
  </si>
  <si>
    <t>1 = Not useful at all; 7 = Extremely useful</t>
  </si>
  <si>
    <t>Ease of use</t>
  </si>
  <si>
    <t>1 = Very difficult; 7 = Very easy</t>
  </si>
  <si>
    <t>Gap</t>
  </si>
  <si>
    <t>Mean usefulness minus mean ease of use</t>
  </si>
  <si>
    <t>Table C.4 participant-level data</t>
  </si>
  <si>
    <t>Participant ID</t>
  </si>
  <si>
    <t>Experience</t>
  </si>
  <si>
    <t>Round</t>
  </si>
  <si>
    <t>Engineer U</t>
  </si>
  <si>
    <t>Engineer E</t>
  </si>
  <si>
    <t>Engineer Gap</t>
  </si>
  <si>
    <t>Coach U</t>
  </si>
  <si>
    <t>Coach E</t>
  </si>
  <si>
    <t>Coach Gap</t>
  </si>
  <si>
    <t>Commentary U</t>
  </si>
  <si>
    <t>Commentary E</t>
  </si>
  <si>
    <t>Commentary Gap</t>
  </si>
  <si>
    <t>AI Driver Bot U</t>
  </si>
  <si>
    <t>AI Driver Bot E</t>
  </si>
  <si>
    <t>AI Driver Bot Gap</t>
  </si>
  <si>
    <t>R01</t>
  </si>
  <si>
    <t>Expert</t>
  </si>
  <si>
    <t>R02</t>
  </si>
  <si>
    <t>R03</t>
  </si>
  <si>
    <t>R04</t>
  </si>
  <si>
    <t>Intermediate</t>
  </si>
  <si>
    <t>R05</t>
  </si>
  <si>
    <t>R06</t>
  </si>
  <si>
    <t>R07</t>
  </si>
  <si>
    <t>R08</t>
  </si>
  <si>
    <t>Novice</t>
  </si>
  <si>
    <t>R09</t>
  </si>
  <si>
    <t>R10</t>
  </si>
  <si>
    <t>Questionnaire key</t>
  </si>
  <si>
    <t>Variable</t>
  </si>
  <si>
    <t>Question</t>
  </si>
  <si>
    <t>Minimum</t>
  </si>
  <si>
    <t>Minimum anchor</t>
  </si>
  <si>
    <t>Maximum</t>
  </si>
  <si>
    <t>Maximum anchor</t>
  </si>
  <si>
    <t>Race Engineer</t>
  </si>
  <si>
    <t>How useful was the Race Engineer for understanding vehicle state and supporting your driving-related task?</t>
  </si>
  <si>
    <t>Not useful at all</t>
  </si>
  <si>
    <t>Extremely useful</t>
  </si>
  <si>
    <t>How easy was the Race Engineer to understand and operate?</t>
  </si>
  <si>
    <t>Very difficult</t>
  </si>
  <si>
    <t>Very easy</t>
  </si>
  <si>
    <t>How useful was the Coach for obtaining live guidance and reviewing or planning your driving?</t>
  </si>
  <si>
    <t>How easy was the Coach to understand and operate?</t>
  </si>
  <si>
    <t>How useful was Commentary for following events during the simulation?</t>
  </si>
  <si>
    <t>How easy was Commentary to understand and operate?</t>
  </si>
  <si>
    <t>How useful was the AI Driver Bot for controlling or automating the simulated driver?</t>
  </si>
  <si>
    <t>How easy was the AI Driver Bot to understand and operate?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</si>
</sst>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8">
    <font>
      <sz val="11"/>
      <name val="Carlito"/>
    </font>
    <font>
      <sz val="10"/>
      <color rgb="FF1F2937"/>
      <name val="Arial"/>
      <family val="2"/>
    </font>
    <font>
      <b/>
      <sz val="15"/>
      <color rgb="FF111827"/>
      <name val="Arial"/>
      <family val="2"/>
    </font>
    <font>
      <i/>
      <sz val="10"/>
      <color rgb="FF4B5563"/>
      <name val="Arial"/>
      <family val="2"/>
    </font>
    <font>
      <b/>
      <sz val="10"/>
      <color rgb="FFFFFFFF"/>
      <name val="Arial"/>
      <family val="2"/>
    </font>
    <font>
      <b/>
      <sz val="10"/>
      <color rgb="FF111827"/>
      <name val="Arial"/>
      <family val="2"/>
    </font>
    <font>
      <sz val="11"/>
      <name val="Carlito"/>
    </font>
    <font>
      <sz val="9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CE6F1"/>
      </patternFill>
    </fill>
  </fills>
  <borders count="19">
    <border>
      <left/>
      <right/>
      <top/>
      <bottom/>
      <diagonal/>
    </border>
    <border>
      <left/>
      <right style="thin">
        <color rgb="FFD1D5DB"/>
      </right>
      <top/>
      <bottom style="thin">
        <color rgb="FFD1D5DB"/>
      </bottom>
      <diagonal/>
    </border>
    <border>
      <left style="thin">
        <color rgb="FFD1D5DB"/>
      </left>
      <right style="thin">
        <color rgb="FFD1D5DB"/>
      </right>
      <top/>
      <bottom style="thin">
        <color rgb="FFD1D5DB"/>
      </bottom>
      <diagonal/>
    </border>
    <border>
      <left style="thin">
        <color rgb="FFD1D5DB"/>
      </left>
      <right/>
      <top/>
      <bottom style="thin">
        <color rgb="FFD1D5DB"/>
      </bottom>
      <diagonal/>
    </border>
    <border>
      <left/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D1D5DB"/>
      </left>
      <right/>
      <top style="thin">
        <color rgb="FFD1D5DB"/>
      </top>
      <bottom style="thin">
        <color rgb="FFD1D5DB"/>
      </bottom>
      <diagonal/>
    </border>
    <border>
      <left/>
      <right style="thin">
        <color rgb="FFD1D5DB"/>
      </right>
      <top style="thin">
        <color rgb="FFD1D5DB"/>
      </top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/>
      <diagonal/>
    </border>
    <border>
      <left style="thin">
        <color rgb="FFD1D5DB"/>
      </left>
      <right/>
      <top style="thin">
        <color rgb="FFD1D5DB"/>
      </top>
      <bottom/>
      <diagonal/>
    </border>
    <border>
      <left/>
      <right style="thin">
        <color rgb="FFE5E7EB"/>
      </right>
      <top/>
      <bottom style="thin">
        <color rgb="FFE5E7EB"/>
      </bottom>
      <diagonal/>
    </border>
    <border>
      <left style="thin">
        <color rgb="FFE5E7EB"/>
      </left>
      <right style="thin">
        <color rgb="FFE5E7EB"/>
      </right>
      <top/>
      <bottom style="thin">
        <color rgb="FFE5E7EB"/>
      </bottom>
      <diagonal/>
    </border>
    <border>
      <left style="thin">
        <color rgb="FFE5E7EB"/>
      </left>
      <right/>
      <top/>
      <bottom style="thin">
        <color rgb="FFE5E7EB"/>
      </bottom>
      <diagonal/>
    </border>
    <border>
      <left/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/>
      <top style="thin">
        <color rgb="FFE5E7EB"/>
      </top>
      <bottom style="thin">
        <color rgb="FFE5E7EB"/>
      </bottom>
      <diagonal/>
    </border>
    <border>
      <left/>
      <right style="thin">
        <color rgb="FFE5E7EB"/>
      </right>
      <top style="thin">
        <color rgb="FFE5E7EB"/>
      </top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/>
      <diagonal/>
    </border>
    <border>
      <left style="thin">
        <color rgb="FFE5E7EB"/>
      </left>
      <right/>
      <top style="thin">
        <color rgb="FFE5E7EB"/>
      </top>
      <bottom/>
      <diagonal/>
    </border>
  </borders>
  <cellStyleXfs count="2">
    <xf numFmtId="0" fontId="0" fillId="0" borderId="0"/>
    <xf numFmtId="0" fontId="6" fillId="0" borderId="0"/>
  </cellStyleXfs>
  <cellXfs count="44">
    <xf numFmtId="0" fontId="0" fillId="0" borderId="0" xfId="0"/>
    <xf numFmtId="0" fontId="1" fillId="0" borderId="0" xfId="1" applyFont="1" applyAlignment="1">
      <alignment vertical="center"/>
    </xf>
    <xf numFmtId="0" fontId="4" fillId="2" borderId="0" xfId="1" applyFont="1" applyFill="1" applyAlignment="1">
      <alignment horizontal="center" vertical="center" wrapText="1"/>
    </xf>
    <xf numFmtId="0" fontId="1" fillId="0" borderId="4" xfId="1" applyFont="1" applyBorder="1" applyAlignment="1">
      <alignment vertical="center"/>
    </xf>
    <xf numFmtId="0" fontId="1" fillId="0" borderId="7" xfId="1" applyFont="1" applyBorder="1" applyAlignment="1">
      <alignment vertical="center"/>
    </xf>
    <xf numFmtId="0" fontId="5" fillId="0" borderId="1" xfId="1" applyFont="1" applyBorder="1" applyAlignment="1">
      <alignment vertical="center"/>
    </xf>
    <xf numFmtId="0" fontId="5" fillId="0" borderId="4" xfId="1" applyFont="1" applyBorder="1" applyAlignment="1">
      <alignment vertical="center"/>
    </xf>
    <xf numFmtId="0" fontId="5" fillId="0" borderId="7" xfId="1" applyFont="1" applyBorder="1" applyAlignment="1">
      <alignment vertical="center"/>
    </xf>
    <xf numFmtId="176" fontId="1" fillId="0" borderId="2" xfId="1" applyNumberFormat="1" applyFont="1" applyBorder="1" applyAlignment="1">
      <alignment vertical="center"/>
    </xf>
    <xf numFmtId="176" fontId="1" fillId="0" borderId="5" xfId="1" applyNumberFormat="1" applyFont="1" applyBorder="1" applyAlignment="1">
      <alignment vertical="center"/>
    </xf>
    <xf numFmtId="176" fontId="1" fillId="0" borderId="8" xfId="1" applyNumberFormat="1" applyFont="1" applyBorder="1" applyAlignment="1">
      <alignment vertical="center"/>
    </xf>
    <xf numFmtId="1" fontId="1" fillId="0" borderId="2" xfId="1" applyNumberFormat="1" applyFont="1" applyBorder="1" applyAlignment="1">
      <alignment vertical="center"/>
    </xf>
    <xf numFmtId="1" fontId="1" fillId="0" borderId="5" xfId="1" applyNumberFormat="1" applyFont="1" applyBorder="1" applyAlignment="1">
      <alignment vertical="center"/>
    </xf>
    <xf numFmtId="1" fontId="1" fillId="0" borderId="8" xfId="1" applyNumberFormat="1" applyFont="1" applyBorder="1" applyAlignment="1">
      <alignment vertical="center"/>
    </xf>
    <xf numFmtId="0" fontId="1" fillId="0" borderId="3" xfId="1" applyFont="1" applyBorder="1" applyAlignment="1">
      <alignment horizontal="center" vertical="center"/>
    </xf>
    <xf numFmtId="0" fontId="1" fillId="0" borderId="6" xfId="1" applyFont="1" applyBorder="1" applyAlignment="1">
      <alignment horizontal="center" vertical="center"/>
    </xf>
    <xf numFmtId="0" fontId="1" fillId="0" borderId="9" xfId="1" applyFont="1" applyBorder="1" applyAlignment="1">
      <alignment horizontal="center" vertical="center"/>
    </xf>
    <xf numFmtId="0" fontId="5" fillId="3" borderId="1" xfId="1" applyFont="1" applyFill="1" applyBorder="1" applyAlignment="1">
      <alignment vertical="center"/>
    </xf>
    <xf numFmtId="0" fontId="5" fillId="3" borderId="3" xfId="1" applyFont="1" applyFill="1" applyBorder="1" applyAlignment="1">
      <alignment vertical="center"/>
    </xf>
    <xf numFmtId="0" fontId="1" fillId="0" borderId="6" xfId="1" applyFont="1" applyBorder="1" applyAlignment="1">
      <alignment vertical="center" wrapText="1"/>
    </xf>
    <xf numFmtId="0" fontId="1" fillId="0" borderId="9" xfId="1" applyFont="1" applyBorder="1" applyAlignment="1">
      <alignment vertical="center" wrapText="1"/>
    </xf>
    <xf numFmtId="0" fontId="1" fillId="0" borderId="10" xfId="1" applyFont="1" applyBorder="1" applyAlignment="1">
      <alignment horizontal="center" vertical="center"/>
    </xf>
    <xf numFmtId="0" fontId="1" fillId="0" borderId="11" xfId="1" applyFont="1" applyBorder="1" applyAlignment="1">
      <alignment horizontal="center" vertical="center"/>
    </xf>
    <xf numFmtId="0" fontId="1" fillId="0" borderId="13" xfId="1" applyFont="1" applyBorder="1" applyAlignment="1">
      <alignment horizontal="center" vertical="center"/>
    </xf>
    <xf numFmtId="0" fontId="1" fillId="0" borderId="14" xfId="1" applyFont="1" applyBorder="1" applyAlignment="1">
      <alignment horizontal="center" vertical="center"/>
    </xf>
    <xf numFmtId="0" fontId="1" fillId="0" borderId="16" xfId="1" applyFont="1" applyBorder="1" applyAlignment="1">
      <alignment horizontal="center" vertical="center"/>
    </xf>
    <xf numFmtId="0" fontId="1" fillId="0" borderId="17" xfId="1" applyFont="1" applyBorder="1" applyAlignment="1">
      <alignment horizontal="center" vertical="center"/>
    </xf>
    <xf numFmtId="1" fontId="1" fillId="0" borderId="11" xfId="1" applyNumberFormat="1" applyFont="1" applyBorder="1" applyAlignment="1">
      <alignment horizontal="center" vertical="center"/>
    </xf>
    <xf numFmtId="1" fontId="1" fillId="0" borderId="12" xfId="1" applyNumberFormat="1" applyFont="1" applyBorder="1" applyAlignment="1">
      <alignment horizontal="center" vertical="center"/>
    </xf>
    <xf numFmtId="1" fontId="1" fillId="0" borderId="14" xfId="1" applyNumberFormat="1" applyFont="1" applyBorder="1" applyAlignment="1">
      <alignment horizontal="center" vertical="center"/>
    </xf>
    <xf numFmtId="1" fontId="1" fillId="0" borderId="15" xfId="1" applyNumberFormat="1" applyFont="1" applyBorder="1" applyAlignment="1">
      <alignment horizontal="center" vertical="center"/>
    </xf>
    <xf numFmtId="1" fontId="1" fillId="0" borderId="17" xfId="1" applyNumberFormat="1" applyFont="1" applyBorder="1" applyAlignment="1">
      <alignment horizontal="center" vertical="center"/>
    </xf>
    <xf numFmtId="1" fontId="1" fillId="0" borderId="18" xfId="1" applyNumberFormat="1" applyFont="1" applyBorder="1" applyAlignment="1">
      <alignment horizontal="center" vertical="center"/>
    </xf>
    <xf numFmtId="0" fontId="1" fillId="0" borderId="10" xfId="1" applyFont="1" applyBorder="1" applyAlignment="1">
      <alignment vertical="center" wrapText="1"/>
    </xf>
    <xf numFmtId="0" fontId="1" fillId="0" borderId="11" xfId="1" applyFont="1" applyBorder="1" applyAlignment="1">
      <alignment vertical="center" wrapText="1"/>
    </xf>
    <xf numFmtId="0" fontId="1" fillId="0" borderId="12" xfId="1" applyFont="1" applyBorder="1" applyAlignment="1">
      <alignment vertical="center" wrapText="1"/>
    </xf>
    <xf numFmtId="0" fontId="1" fillId="0" borderId="13" xfId="1" applyFont="1" applyBorder="1" applyAlignment="1">
      <alignment vertical="center" wrapText="1"/>
    </xf>
    <xf numFmtId="0" fontId="1" fillId="0" borderId="14" xfId="1" applyFont="1" applyBorder="1" applyAlignment="1">
      <alignment vertical="center" wrapText="1"/>
    </xf>
    <xf numFmtId="0" fontId="1" fillId="0" borderId="15" xfId="1" applyFont="1" applyBorder="1" applyAlignment="1">
      <alignment vertical="center" wrapText="1"/>
    </xf>
    <xf numFmtId="0" fontId="1" fillId="0" borderId="16" xfId="1" applyFont="1" applyBorder="1" applyAlignment="1">
      <alignment vertical="center" wrapText="1"/>
    </xf>
    <xf numFmtId="0" fontId="1" fillId="0" borderId="17" xfId="1" applyFont="1" applyBorder="1" applyAlignment="1">
      <alignment vertical="center" wrapText="1"/>
    </xf>
    <xf numFmtId="0" fontId="1" fillId="0" borderId="18" xfId="1" applyFont="1" applyBorder="1" applyAlignment="1">
      <alignment vertical="center" wrapText="1"/>
    </xf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 wrapText="1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"/>
  <sheetViews>
    <sheetView showGridLines="0" workbookViewId="0">
      <selection sqref="A1:I1"/>
    </sheetView>
  </sheetViews>
  <sheetFormatPr defaultRowHeight="14.25"/>
  <cols>
    <col min="1" max="1" width="20" customWidth="1"/>
    <col min="2" max="2" width="52" customWidth="1"/>
    <col min="3" max="9" width="15" customWidth="1"/>
  </cols>
  <sheetData>
    <row r="1" spans="1:9" ht="26.1" customHeight="1">
      <c r="A1" s="42" t="s">
        <v>0</v>
      </c>
      <c r="B1" s="42"/>
      <c r="C1" s="42"/>
      <c r="D1" s="42"/>
      <c r="E1" s="42"/>
      <c r="F1" s="42"/>
      <c r="G1" s="42"/>
      <c r="H1" s="42"/>
      <c r="I1" s="42"/>
    </row>
    <row r="2" spans="1:9" ht="32.1" customHeight="1">
      <c r="A2" s="43" t="s">
        <v>1</v>
      </c>
      <c r="B2" s="43"/>
      <c r="C2" s="43"/>
      <c r="D2" s="43"/>
      <c r="E2" s="43"/>
      <c r="F2" s="43"/>
      <c r="G2" s="43"/>
      <c r="H2" s="43"/>
      <c r="I2" s="43"/>
    </row>
    <row r="3" spans="1:9">
      <c r="A3" s="1"/>
      <c r="B3" s="1"/>
      <c r="C3" s="1"/>
      <c r="D3" s="1"/>
      <c r="E3" s="1"/>
      <c r="F3" s="1"/>
      <c r="G3" s="1"/>
      <c r="H3" s="1"/>
      <c r="I3" s="1"/>
    </row>
    <row r="4" spans="1:9" ht="30" customHeight="1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</row>
    <row r="5" spans="1:9">
      <c r="A5" s="5" t="s">
        <v>11</v>
      </c>
      <c r="B5" s="11">
        <f>COUNT('Participant Data'!D$5:D$14)</f>
        <v>10</v>
      </c>
      <c r="C5" s="8">
        <f>AVERAGE('Participant Data'!D$5:D$14)</f>
        <v>5.8</v>
      </c>
      <c r="D5" s="8">
        <f>AVERAGE('Participant Data'!E$5:E$14)</f>
        <v>3.2</v>
      </c>
      <c r="E5" s="8">
        <f>C5-D5</f>
        <v>2.5999999999999996</v>
      </c>
      <c r="F5" s="8">
        <v>5.8</v>
      </c>
      <c r="G5" s="8">
        <v>3.2</v>
      </c>
      <c r="H5" s="8">
        <v>2.6</v>
      </c>
      <c r="I5" s="14" t="str">
        <f>IF(AND(ABS(C5-F5)&lt;0.0001,ABS(D5-G5)&lt;0.0001,ABS(E5-H5)&lt;0.0001),"MATCH","CHECK")</f>
        <v>MATCH</v>
      </c>
    </row>
    <row r="6" spans="1:9">
      <c r="A6" s="6" t="s">
        <v>12</v>
      </c>
      <c r="B6" s="12">
        <f>COUNT('Participant Data'!G$5:G$14)</f>
        <v>10</v>
      </c>
      <c r="C6" s="9">
        <f>AVERAGE('Participant Data'!G$5:G$14)</f>
        <v>5.2</v>
      </c>
      <c r="D6" s="9">
        <f>AVERAGE('Participant Data'!H$5:H$14)</f>
        <v>2.8</v>
      </c>
      <c r="E6" s="9">
        <f>C6-D6</f>
        <v>2.4000000000000004</v>
      </c>
      <c r="F6" s="9">
        <v>5.2</v>
      </c>
      <c r="G6" s="9">
        <v>2.8</v>
      </c>
      <c r="H6" s="9">
        <v>2.4</v>
      </c>
      <c r="I6" s="15" t="str">
        <f>IF(AND(ABS(C6-F6)&lt;0.0001,ABS(D6-G6)&lt;0.0001,ABS(E6-H6)&lt;0.0001),"MATCH","CHECK")</f>
        <v>MATCH</v>
      </c>
    </row>
    <row r="7" spans="1:9">
      <c r="A7" s="6" t="s">
        <v>13</v>
      </c>
      <c r="B7" s="12">
        <f>COUNT('Participant Data'!J$5:J$14)</f>
        <v>10</v>
      </c>
      <c r="C7" s="9">
        <f>AVERAGE('Participant Data'!J$5:J$14)</f>
        <v>5</v>
      </c>
      <c r="D7" s="9">
        <f>AVERAGE('Participant Data'!K$5:K$14)</f>
        <v>3.5</v>
      </c>
      <c r="E7" s="9">
        <f>C7-D7</f>
        <v>1.5</v>
      </c>
      <c r="F7" s="9">
        <v>5</v>
      </c>
      <c r="G7" s="9">
        <v>3.5</v>
      </c>
      <c r="H7" s="9">
        <v>1.5</v>
      </c>
      <c r="I7" s="15" t="str">
        <f>IF(AND(ABS(C7-F7)&lt;0.0001,ABS(D7-G7)&lt;0.0001,ABS(E7-H7)&lt;0.0001),"MATCH","CHECK")</f>
        <v>MATCH</v>
      </c>
    </row>
    <row r="8" spans="1:9">
      <c r="A8" s="7" t="s">
        <v>14</v>
      </c>
      <c r="B8" s="13">
        <f>COUNT('Participant Data'!M$5:M$14)</f>
        <v>10</v>
      </c>
      <c r="C8" s="10">
        <f>AVERAGE('Participant Data'!M$5:M$14)</f>
        <v>4.8</v>
      </c>
      <c r="D8" s="10">
        <f>AVERAGE('Participant Data'!N$5:N$14)</f>
        <v>4</v>
      </c>
      <c r="E8" s="10">
        <f>C8-D8</f>
        <v>0.79999999999999982</v>
      </c>
      <c r="F8" s="10">
        <v>4.8</v>
      </c>
      <c r="G8" s="10">
        <v>4</v>
      </c>
      <c r="H8" s="10">
        <v>0.8</v>
      </c>
      <c r="I8" s="16" t="str">
        <f>IF(AND(ABS(C8-F8)&lt;0.0001,ABS(D8-G8)&lt;0.0001,ABS(E8-H8)&lt;0.0001),"MATCH","CHECK")</f>
        <v>MATCH</v>
      </c>
    </row>
    <row r="9" spans="1:9">
      <c r="A9" s="1"/>
      <c r="B9" s="1"/>
      <c r="C9" s="1"/>
      <c r="D9" s="1"/>
      <c r="E9" s="1"/>
      <c r="F9" s="1"/>
      <c r="G9" s="1"/>
      <c r="H9" s="1"/>
      <c r="I9" s="1"/>
    </row>
    <row r="10" spans="1:9">
      <c r="A10" s="1"/>
      <c r="B10" s="1"/>
      <c r="C10" s="1"/>
      <c r="D10" s="1"/>
      <c r="E10" s="1"/>
      <c r="F10" s="1"/>
      <c r="G10" s="1"/>
      <c r="H10" s="1"/>
      <c r="I10" s="1"/>
    </row>
    <row r="11" spans="1:9">
      <c r="A11" s="17" t="s">
        <v>15</v>
      </c>
      <c r="B11" s="18" t="s">
        <v>16</v>
      </c>
      <c r="C11" s="1"/>
      <c r="D11" s="1"/>
      <c r="E11" s="1"/>
      <c r="F11" s="1"/>
      <c r="G11" s="1"/>
      <c r="H11" s="1"/>
      <c r="I11" s="1"/>
    </row>
    <row r="12" spans="1:9">
      <c r="A12" s="3" t="s">
        <v>17</v>
      </c>
      <c r="B12" s="19" t="s">
        <v>18</v>
      </c>
      <c r="C12" s="1"/>
      <c r="D12" s="1"/>
      <c r="E12" s="1"/>
      <c r="F12" s="1"/>
      <c r="G12" s="1"/>
      <c r="H12" s="1"/>
      <c r="I12" s="1"/>
    </row>
    <row r="13" spans="1:9">
      <c r="A13" s="3" t="s">
        <v>19</v>
      </c>
      <c r="B13" s="19" t="s">
        <v>20</v>
      </c>
      <c r="C13" s="1"/>
      <c r="D13" s="1"/>
      <c r="E13" s="1"/>
      <c r="F13" s="1"/>
      <c r="G13" s="1"/>
      <c r="H13" s="1"/>
      <c r="I13" s="1"/>
    </row>
    <row r="14" spans="1:9">
      <c r="A14" s="4" t="s">
        <v>21</v>
      </c>
      <c r="B14" s="20" t="s">
        <v>22</v>
      </c>
      <c r="C14" s="1"/>
      <c r="D14" s="1"/>
      <c r="E14" s="1"/>
      <c r="F14" s="1"/>
      <c r="G14" s="1"/>
      <c r="H14" s="1"/>
      <c r="I14" s="1"/>
    </row>
  </sheetData>
  <mergeCells count="2">
    <mergeCell ref="A1:I1"/>
    <mergeCell ref="A2:I2"/>
  </mergeCells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4"/>
  <sheetViews>
    <sheetView showGridLines="0" workbookViewId="0">
      <pane ySplit="4" topLeftCell="A5" activePane="bottomLeft" state="frozen"/>
      <selection pane="bottomLeft" activeCell="A2" sqref="A2:O2"/>
    </sheetView>
  </sheetViews>
  <sheetFormatPr defaultRowHeight="14.25"/>
  <cols>
    <col min="1" max="1" width="15" customWidth="1"/>
    <col min="2" max="2" width="16" customWidth="1"/>
    <col min="3" max="3" width="9" customWidth="1"/>
    <col min="4" max="15" width="15" customWidth="1"/>
  </cols>
  <sheetData>
    <row r="1" spans="1:15" ht="26.1" customHeight="1">
      <c r="A1" s="42" t="s">
        <v>23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</row>
    <row r="2" spans="1:15" ht="32.1" customHeight="1">
      <c r="A2" s="43"/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</row>
    <row r="3" spans="1:1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ht="30" customHeight="1">
      <c r="A4" s="2" t="s">
        <v>24</v>
      </c>
      <c r="B4" s="2" t="s">
        <v>25</v>
      </c>
      <c r="C4" s="2" t="s">
        <v>26</v>
      </c>
      <c r="D4" s="2" t="s">
        <v>27</v>
      </c>
      <c r="E4" s="2" t="s">
        <v>28</v>
      </c>
      <c r="F4" s="2" t="s">
        <v>29</v>
      </c>
      <c r="G4" s="2" t="s">
        <v>30</v>
      </c>
      <c r="H4" s="2" t="s">
        <v>31</v>
      </c>
      <c r="I4" s="2" t="s">
        <v>32</v>
      </c>
      <c r="J4" s="2" t="s">
        <v>33</v>
      </c>
      <c r="K4" s="2" t="s">
        <v>34</v>
      </c>
      <c r="L4" s="2" t="s">
        <v>35</v>
      </c>
      <c r="M4" s="2" t="s">
        <v>36</v>
      </c>
      <c r="N4" s="2" t="s">
        <v>37</v>
      </c>
      <c r="O4" s="2" t="s">
        <v>38</v>
      </c>
    </row>
    <row r="5" spans="1:15">
      <c r="A5" s="21" t="s">
        <v>39</v>
      </c>
      <c r="B5" s="22" t="s">
        <v>40</v>
      </c>
      <c r="C5" s="22">
        <v>1</v>
      </c>
      <c r="D5" s="27">
        <v>7</v>
      </c>
      <c r="E5" s="27">
        <v>5</v>
      </c>
      <c r="F5" s="27">
        <f t="shared" ref="F5:F14" si="0">D5-E5</f>
        <v>2</v>
      </c>
      <c r="G5" s="27">
        <v>6</v>
      </c>
      <c r="H5" s="27">
        <v>4</v>
      </c>
      <c r="I5" s="27">
        <f t="shared" ref="I5:I14" si="1">G5-H5</f>
        <v>2</v>
      </c>
      <c r="J5" s="27">
        <v>6</v>
      </c>
      <c r="K5" s="27">
        <v>5</v>
      </c>
      <c r="L5" s="27">
        <f t="shared" ref="L5:L14" si="2">J5-K5</f>
        <v>1</v>
      </c>
      <c r="M5" s="27">
        <v>5</v>
      </c>
      <c r="N5" s="27">
        <v>5</v>
      </c>
      <c r="O5" s="28">
        <f t="shared" ref="O5:O14" si="3">M5-N5</f>
        <v>0</v>
      </c>
    </row>
    <row r="6" spans="1:15">
      <c r="A6" s="23" t="s">
        <v>41</v>
      </c>
      <c r="B6" s="24" t="s">
        <v>40</v>
      </c>
      <c r="C6" s="24">
        <v>1</v>
      </c>
      <c r="D6" s="29">
        <v>6</v>
      </c>
      <c r="E6" s="29">
        <v>4</v>
      </c>
      <c r="F6" s="29">
        <f t="shared" si="0"/>
        <v>2</v>
      </c>
      <c r="G6" s="29">
        <v>6</v>
      </c>
      <c r="H6" s="29">
        <v>4</v>
      </c>
      <c r="I6" s="29">
        <f t="shared" si="1"/>
        <v>2</v>
      </c>
      <c r="J6" s="29">
        <v>5</v>
      </c>
      <c r="K6" s="29">
        <v>4</v>
      </c>
      <c r="L6" s="29">
        <f t="shared" si="2"/>
        <v>1</v>
      </c>
      <c r="M6" s="29">
        <v>5</v>
      </c>
      <c r="N6" s="29">
        <v>5</v>
      </c>
      <c r="O6" s="30">
        <f t="shared" si="3"/>
        <v>0</v>
      </c>
    </row>
    <row r="7" spans="1:15">
      <c r="A7" s="23" t="s">
        <v>42</v>
      </c>
      <c r="B7" s="24" t="s">
        <v>40</v>
      </c>
      <c r="C7" s="24">
        <v>1</v>
      </c>
      <c r="D7" s="29">
        <v>6</v>
      </c>
      <c r="E7" s="29">
        <v>4</v>
      </c>
      <c r="F7" s="29">
        <f t="shared" si="0"/>
        <v>2</v>
      </c>
      <c r="G7" s="29">
        <v>5</v>
      </c>
      <c r="H7" s="29">
        <v>3</v>
      </c>
      <c r="I7" s="29">
        <f t="shared" si="1"/>
        <v>2</v>
      </c>
      <c r="J7" s="29">
        <v>5</v>
      </c>
      <c r="K7" s="29">
        <v>4</v>
      </c>
      <c r="L7" s="29">
        <f t="shared" si="2"/>
        <v>1</v>
      </c>
      <c r="M7" s="29">
        <v>5</v>
      </c>
      <c r="N7" s="29">
        <v>4</v>
      </c>
      <c r="O7" s="30">
        <f t="shared" si="3"/>
        <v>1</v>
      </c>
    </row>
    <row r="8" spans="1:15">
      <c r="A8" s="23" t="s">
        <v>43</v>
      </c>
      <c r="B8" s="24" t="s">
        <v>44</v>
      </c>
      <c r="C8" s="24">
        <v>1</v>
      </c>
      <c r="D8" s="29">
        <v>6</v>
      </c>
      <c r="E8" s="29">
        <v>3</v>
      </c>
      <c r="F8" s="29">
        <f t="shared" si="0"/>
        <v>3</v>
      </c>
      <c r="G8" s="29">
        <v>6</v>
      </c>
      <c r="H8" s="29">
        <v>3</v>
      </c>
      <c r="I8" s="29">
        <f t="shared" si="1"/>
        <v>3</v>
      </c>
      <c r="J8" s="29">
        <v>6</v>
      </c>
      <c r="K8" s="29">
        <v>4</v>
      </c>
      <c r="L8" s="29">
        <f t="shared" si="2"/>
        <v>2</v>
      </c>
      <c r="M8" s="29">
        <v>5</v>
      </c>
      <c r="N8" s="29">
        <v>4</v>
      </c>
      <c r="O8" s="30">
        <f t="shared" si="3"/>
        <v>1</v>
      </c>
    </row>
    <row r="9" spans="1:15">
      <c r="A9" s="23" t="s">
        <v>45</v>
      </c>
      <c r="B9" s="24" t="s">
        <v>44</v>
      </c>
      <c r="C9" s="24">
        <v>1</v>
      </c>
      <c r="D9" s="29">
        <v>6</v>
      </c>
      <c r="E9" s="29">
        <v>3</v>
      </c>
      <c r="F9" s="29">
        <f t="shared" si="0"/>
        <v>3</v>
      </c>
      <c r="G9" s="29">
        <v>5</v>
      </c>
      <c r="H9" s="29">
        <v>3</v>
      </c>
      <c r="I9" s="29">
        <f t="shared" si="1"/>
        <v>2</v>
      </c>
      <c r="J9" s="29">
        <v>5</v>
      </c>
      <c r="K9" s="29">
        <v>4</v>
      </c>
      <c r="L9" s="29">
        <f t="shared" si="2"/>
        <v>1</v>
      </c>
      <c r="M9" s="29">
        <v>5</v>
      </c>
      <c r="N9" s="29">
        <v>4</v>
      </c>
      <c r="O9" s="30">
        <f t="shared" si="3"/>
        <v>1</v>
      </c>
    </row>
    <row r="10" spans="1:15">
      <c r="A10" s="23" t="s">
        <v>46</v>
      </c>
      <c r="B10" s="24" t="s">
        <v>44</v>
      </c>
      <c r="C10" s="24">
        <v>1</v>
      </c>
      <c r="D10" s="29">
        <v>6</v>
      </c>
      <c r="E10" s="29">
        <v>3</v>
      </c>
      <c r="F10" s="29">
        <f t="shared" si="0"/>
        <v>3</v>
      </c>
      <c r="G10" s="29">
        <v>5</v>
      </c>
      <c r="H10" s="29">
        <v>3</v>
      </c>
      <c r="I10" s="29">
        <f t="shared" si="1"/>
        <v>2</v>
      </c>
      <c r="J10" s="29">
        <v>5</v>
      </c>
      <c r="K10" s="29">
        <v>3</v>
      </c>
      <c r="L10" s="29">
        <f t="shared" si="2"/>
        <v>2</v>
      </c>
      <c r="M10" s="29">
        <v>5</v>
      </c>
      <c r="N10" s="29">
        <v>4</v>
      </c>
      <c r="O10" s="30">
        <f t="shared" si="3"/>
        <v>1</v>
      </c>
    </row>
    <row r="11" spans="1:15">
      <c r="A11" s="23" t="s">
        <v>47</v>
      </c>
      <c r="B11" s="24" t="s">
        <v>44</v>
      </c>
      <c r="C11" s="24">
        <v>1</v>
      </c>
      <c r="D11" s="29">
        <v>5</v>
      </c>
      <c r="E11" s="29">
        <v>3</v>
      </c>
      <c r="F11" s="29">
        <f t="shared" si="0"/>
        <v>2</v>
      </c>
      <c r="G11" s="29">
        <v>5</v>
      </c>
      <c r="H11" s="29">
        <v>2</v>
      </c>
      <c r="I11" s="29">
        <f t="shared" si="1"/>
        <v>3</v>
      </c>
      <c r="J11" s="29">
        <v>5</v>
      </c>
      <c r="K11" s="29">
        <v>3</v>
      </c>
      <c r="L11" s="29">
        <f t="shared" si="2"/>
        <v>2</v>
      </c>
      <c r="M11" s="29">
        <v>5</v>
      </c>
      <c r="N11" s="29">
        <v>4</v>
      </c>
      <c r="O11" s="30">
        <f t="shared" si="3"/>
        <v>1</v>
      </c>
    </row>
    <row r="12" spans="1:15">
      <c r="A12" s="23" t="s">
        <v>48</v>
      </c>
      <c r="B12" s="24" t="s">
        <v>49</v>
      </c>
      <c r="C12" s="24">
        <v>1</v>
      </c>
      <c r="D12" s="29">
        <v>6</v>
      </c>
      <c r="E12" s="29">
        <v>3</v>
      </c>
      <c r="F12" s="29">
        <f t="shared" si="0"/>
        <v>3</v>
      </c>
      <c r="G12" s="29">
        <v>5</v>
      </c>
      <c r="H12" s="29">
        <v>2</v>
      </c>
      <c r="I12" s="29">
        <f t="shared" si="1"/>
        <v>3</v>
      </c>
      <c r="J12" s="29">
        <v>5</v>
      </c>
      <c r="K12" s="29">
        <v>3</v>
      </c>
      <c r="L12" s="29">
        <f t="shared" si="2"/>
        <v>2</v>
      </c>
      <c r="M12" s="29">
        <v>5</v>
      </c>
      <c r="N12" s="29">
        <v>4</v>
      </c>
      <c r="O12" s="30">
        <f t="shared" si="3"/>
        <v>1</v>
      </c>
    </row>
    <row r="13" spans="1:15">
      <c r="A13" s="23" t="s">
        <v>50</v>
      </c>
      <c r="B13" s="24" t="s">
        <v>49</v>
      </c>
      <c r="C13" s="24">
        <v>1</v>
      </c>
      <c r="D13" s="29">
        <v>5</v>
      </c>
      <c r="E13" s="29">
        <v>2</v>
      </c>
      <c r="F13" s="29">
        <f t="shared" si="0"/>
        <v>3</v>
      </c>
      <c r="G13" s="29">
        <v>5</v>
      </c>
      <c r="H13" s="29">
        <v>2</v>
      </c>
      <c r="I13" s="29">
        <f t="shared" si="1"/>
        <v>3</v>
      </c>
      <c r="J13" s="29">
        <v>4</v>
      </c>
      <c r="K13" s="29">
        <v>3</v>
      </c>
      <c r="L13" s="29">
        <f t="shared" si="2"/>
        <v>1</v>
      </c>
      <c r="M13" s="29">
        <v>4</v>
      </c>
      <c r="N13" s="29">
        <v>3</v>
      </c>
      <c r="O13" s="30">
        <f t="shared" si="3"/>
        <v>1</v>
      </c>
    </row>
    <row r="14" spans="1:15">
      <c r="A14" s="25" t="s">
        <v>51</v>
      </c>
      <c r="B14" s="26" t="s">
        <v>49</v>
      </c>
      <c r="C14" s="26">
        <v>1</v>
      </c>
      <c r="D14" s="31">
        <v>5</v>
      </c>
      <c r="E14" s="31">
        <v>2</v>
      </c>
      <c r="F14" s="31">
        <f t="shared" si="0"/>
        <v>3</v>
      </c>
      <c r="G14" s="31">
        <v>4</v>
      </c>
      <c r="H14" s="31">
        <v>2</v>
      </c>
      <c r="I14" s="31">
        <f t="shared" si="1"/>
        <v>2</v>
      </c>
      <c r="J14" s="31">
        <v>4</v>
      </c>
      <c r="K14" s="31">
        <v>2</v>
      </c>
      <c r="L14" s="31">
        <f t="shared" si="2"/>
        <v>2</v>
      </c>
      <c r="M14" s="31">
        <v>4</v>
      </c>
      <c r="N14" s="31">
        <v>3</v>
      </c>
      <c r="O14" s="32">
        <f t="shared" si="3"/>
        <v>1</v>
      </c>
    </row>
  </sheetData>
  <mergeCells count="2">
    <mergeCell ref="A1:O1"/>
    <mergeCell ref="A2:O2"/>
  </mergeCells>
  <phoneticPr fontId="7" type="noConversion"/>
  <dataValidations count="3">
    <dataValidation type="list" sqref="B5:B14" xr:uid="{00000000-0002-0000-0100-000000000000}">
      <formula1>"Expert,Intermediate,Novice"</formula1>
    </dataValidation>
    <dataValidation type="whole" sqref="C5:C14" xr:uid="{00000000-0002-0000-0100-000001000000}">
      <formula1>1</formula1>
      <formula2>2</formula2>
    </dataValidation>
    <dataValidation type="whole" sqref="D5:E14 M5:N14 J5:K14 G5:H14" xr:uid="{00000000-0002-0000-0100-000002000000}">
      <formula1>1</formula1>
      <formula2>7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1"/>
  <sheetViews>
    <sheetView showGridLines="0" tabSelected="1" workbookViewId="0">
      <pane ySplit="3" topLeftCell="A4" activePane="bottomLeft" state="frozen"/>
      <selection pane="bottomLeft" sqref="A1:G1"/>
    </sheetView>
  </sheetViews>
  <sheetFormatPr defaultRowHeight="14.25"/>
  <cols>
    <col min="1" max="1" width="19" customWidth="1"/>
    <col min="2" max="2" width="18" customWidth="1"/>
    <col min="3" max="3" width="62" customWidth="1"/>
    <col min="4" max="4" width="10" customWidth="1"/>
    <col min="5" max="5" width="20" customWidth="1"/>
    <col min="6" max="6" width="10" customWidth="1"/>
    <col min="7" max="7" width="20" customWidth="1"/>
  </cols>
  <sheetData>
    <row r="1" spans="1:7" ht="26.1" customHeight="1">
      <c r="A1" s="42" t="s">
        <v>52</v>
      </c>
      <c r="B1" s="42"/>
      <c r="C1" s="42"/>
      <c r="D1" s="42"/>
      <c r="E1" s="42"/>
      <c r="F1" s="42"/>
      <c r="G1" s="42"/>
    </row>
    <row r="2" spans="1:7">
      <c r="A2" s="1"/>
      <c r="B2" s="1"/>
      <c r="C2" s="1"/>
      <c r="D2" s="1"/>
      <c r="E2" s="1"/>
      <c r="F2" s="1"/>
      <c r="G2" s="1"/>
    </row>
    <row r="3" spans="1:7" ht="30" customHeight="1">
      <c r="A3" s="2" t="s">
        <v>53</v>
      </c>
      <c r="B3" s="2" t="s">
        <v>2</v>
      </c>
      <c r="C3" s="2" t="s">
        <v>54</v>
      </c>
      <c r="D3" s="2" t="s">
        <v>55</v>
      </c>
      <c r="E3" s="2" t="s">
        <v>56</v>
      </c>
      <c r="F3" s="2" t="s">
        <v>57</v>
      </c>
      <c r="G3" s="2" t="s">
        <v>58</v>
      </c>
    </row>
    <row r="4" spans="1:7" ht="42" customHeight="1">
      <c r="A4" s="33" t="s">
        <v>27</v>
      </c>
      <c r="B4" s="34" t="s">
        <v>59</v>
      </c>
      <c r="C4" s="34" t="s">
        <v>60</v>
      </c>
      <c r="D4" s="34">
        <v>1</v>
      </c>
      <c r="E4" s="34" t="s">
        <v>61</v>
      </c>
      <c r="F4" s="34">
        <v>7</v>
      </c>
      <c r="G4" s="35" t="s">
        <v>62</v>
      </c>
    </row>
    <row r="5" spans="1:7" ht="42" customHeight="1">
      <c r="A5" s="36" t="s">
        <v>28</v>
      </c>
      <c r="B5" s="37" t="s">
        <v>59</v>
      </c>
      <c r="C5" s="37" t="s">
        <v>63</v>
      </c>
      <c r="D5" s="37">
        <v>1</v>
      </c>
      <c r="E5" s="37" t="s">
        <v>64</v>
      </c>
      <c r="F5" s="37">
        <v>7</v>
      </c>
      <c r="G5" s="38" t="s">
        <v>65</v>
      </c>
    </row>
    <row r="6" spans="1:7" ht="42" customHeight="1">
      <c r="A6" s="36" t="s">
        <v>30</v>
      </c>
      <c r="B6" s="37" t="s">
        <v>12</v>
      </c>
      <c r="C6" s="37" t="s">
        <v>66</v>
      </c>
      <c r="D6" s="37">
        <v>1</v>
      </c>
      <c r="E6" s="37" t="s">
        <v>61</v>
      </c>
      <c r="F6" s="37">
        <v>7</v>
      </c>
      <c r="G6" s="38" t="s">
        <v>62</v>
      </c>
    </row>
    <row r="7" spans="1:7" ht="42" customHeight="1">
      <c r="A7" s="36" t="s">
        <v>31</v>
      </c>
      <c r="B7" s="37" t="s">
        <v>12</v>
      </c>
      <c r="C7" s="37" t="s">
        <v>67</v>
      </c>
      <c r="D7" s="37">
        <v>1</v>
      </c>
      <c r="E7" s="37" t="s">
        <v>64</v>
      </c>
      <c r="F7" s="37">
        <v>7</v>
      </c>
      <c r="G7" s="38" t="s">
        <v>65</v>
      </c>
    </row>
    <row r="8" spans="1:7" ht="42" customHeight="1">
      <c r="A8" s="36" t="s">
        <v>33</v>
      </c>
      <c r="B8" s="37" t="s">
        <v>13</v>
      </c>
      <c r="C8" s="37" t="s">
        <v>68</v>
      </c>
      <c r="D8" s="37">
        <v>1</v>
      </c>
      <c r="E8" s="37" t="s">
        <v>61</v>
      </c>
      <c r="F8" s="37">
        <v>7</v>
      </c>
      <c r="G8" s="38" t="s">
        <v>62</v>
      </c>
    </row>
    <row r="9" spans="1:7" ht="42" customHeight="1">
      <c r="A9" s="36" t="s">
        <v>34</v>
      </c>
      <c r="B9" s="37" t="s">
        <v>13</v>
      </c>
      <c r="C9" s="37" t="s">
        <v>69</v>
      </c>
      <c r="D9" s="37">
        <v>1</v>
      </c>
      <c r="E9" s="37" t="s">
        <v>64</v>
      </c>
      <c r="F9" s="37">
        <v>7</v>
      </c>
      <c r="G9" s="38" t="s">
        <v>65</v>
      </c>
    </row>
    <row r="10" spans="1:7" ht="42" customHeight="1">
      <c r="A10" s="36" t="s">
        <v>36</v>
      </c>
      <c r="B10" s="37" t="s">
        <v>14</v>
      </c>
      <c r="C10" s="37" t="s">
        <v>70</v>
      </c>
      <c r="D10" s="37">
        <v>1</v>
      </c>
      <c r="E10" s="37" t="s">
        <v>61</v>
      </c>
      <c r="F10" s="37">
        <v>7</v>
      </c>
      <c r="G10" s="38" t="s">
        <v>62</v>
      </c>
    </row>
    <row r="11" spans="1:7" ht="42" customHeight="1">
      <c r="A11" s="39" t="s">
        <v>37</v>
      </c>
      <c r="B11" s="40" t="s">
        <v>14</v>
      </c>
      <c r="C11" s="40" t="s">
        <v>71</v>
      </c>
      <c r="D11" s="40">
        <v>1</v>
      </c>
      <c r="E11" s="40" t="s">
        <v>64</v>
      </c>
      <c r="F11" s="40">
        <v>7</v>
      </c>
      <c r="G11" s="41" t="s">
        <v>65</v>
      </c>
    </row>
  </sheetData>
  <mergeCells count="1">
    <mergeCell ref="A1:G1"/>
  </mergeCells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Summary</vt:lpstr>
      <vt:lpstr>Participant Data</vt:lpstr>
      <vt:lpstr>Questionnaire Key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songyun han</cp:lastModifiedBy>
  <dcterms:modified xsi:type="dcterms:W3CDTF">2026-09-08T15:37:05Z</dcterms:modified>
</cp:coreProperties>
</file>